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CAM\Guruvandan app\outputs\guruvandan_version1_release_20260920\"/>
    </mc:Choice>
  </mc:AlternateContent>
  <xr:revisionPtr revIDLastSave="0" documentId="13_ncr:1_{1CDE17BA-93BF-4079-AD4F-31A13B651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chnical Development" sheetId="2" r:id="rId1"/>
    <sheet name="Marketing" sheetId="3" r:id="rId2"/>
    <sheet name="Version 0 Details" sheetId="4" r:id="rId3"/>
    <sheet name="Version 1 Detail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5" i="5"/>
  <c r="E4" i="5"/>
  <c r="E6" i="4"/>
  <c r="E5" i="4"/>
  <c r="E4" i="4"/>
</calcChain>
</file>

<file path=xl/sharedStrings.xml><?xml version="1.0" encoding="utf-8"?>
<sst xmlns="http://schemas.openxmlformats.org/spreadsheetml/2006/main" count="596" uniqueCount="421">
  <si>
    <t>Guru Vandan Technical Development Roadmap</t>
  </si>
  <si>
    <t>Version 0</t>
  </si>
  <si>
    <t>Version 1</t>
  </si>
  <si>
    <t>Version 3</t>
  </si>
  <si>
    <t>Vx.0</t>
  </si>
  <si>
    <t>Flutter app base, Firebase setup, Android, web, and iOS project structure</t>
  </si>
  <si>
    <t>Events</t>
  </si>
  <si>
    <t>Shop</t>
  </si>
  <si>
    <t>Vx.1</t>
  </si>
  <si>
    <t>First launch language choice, Google sign-in, and phone OTP sign-in</t>
  </si>
  <si>
    <t>Guru Gallery</t>
  </si>
  <si>
    <t>Vx.2</t>
  </si>
  <si>
    <t>First-time profile setup with first, middle, and last name</t>
  </si>
  <si>
    <t>Vx.3</t>
  </si>
  <si>
    <t>Spiritual home screen, first-name greeting, and welcome popup</t>
  </si>
  <si>
    <t>Vx.4</t>
  </si>
  <si>
    <t>Offline morning satsang, evening satsang, and aarti audio</t>
  </si>
  <si>
    <t>Vx.5</t>
  </si>
  <si>
    <t>Meditation timer with presets, custom hours/minutes, Om, and ending chant</t>
  </si>
  <si>
    <t>Vx.6</t>
  </si>
  <si>
    <t>Meditation-only streak tracking with current, best, and total days</t>
  </si>
  <si>
    <t>Vx.7</t>
  </si>
  <si>
    <t>Dynamic bilingual wisdom quotes from admin with share option</t>
  </si>
  <si>
    <t>Vx.8</t>
  </si>
  <si>
    <t>More page with language switch, change name, coming soon modules, and logout</t>
  </si>
  <si>
    <t>Vx.9</t>
  </si>
  <si>
    <t>Admin panel for quotes, editing, newest-first list, and user activity view</t>
  </si>
  <si>
    <t>Vx.10</t>
  </si>
  <si>
    <t>Release build: Android APK ready, web deployed, iOS files prepared</t>
  </si>
  <si>
    <t>Guru Vandan Marketing Tracker</t>
  </si>
  <si>
    <t>For date</t>
  </si>
  <si>
    <t>Version</t>
  </si>
  <si>
    <t>Marketing content</t>
  </si>
  <si>
    <t>3 reels</t>
  </si>
  <si>
    <t>2 posters</t>
  </si>
  <si>
    <t>Instagram page</t>
  </si>
  <si>
    <t>Guru Vandan - Version 0 Feature Tracker</t>
  </si>
  <si>
    <t>Everything listed here was completed or prepared in Version 0 of the Guruvandan app.</t>
  </si>
  <si>
    <t>Total items</t>
  </si>
  <si>
    <t>Status</t>
  </si>
  <si>
    <t>Release-ready</t>
  </si>
  <si>
    <t>Completed</t>
  </si>
  <si>
    <t>Last updated</t>
  </si>
  <si>
    <t>Prepared</t>
  </si>
  <si>
    <t>Category</t>
  </si>
  <si>
    <t>Area</t>
  </si>
  <si>
    <t>Feature</t>
  </si>
  <si>
    <t>Implementation notes</t>
  </si>
  <si>
    <t>User benefit</t>
  </si>
  <si>
    <t>Branding</t>
  </si>
  <si>
    <t>App identity</t>
  </si>
  <si>
    <t>Device app name shows Guru Vandan</t>
  </si>
  <si>
    <t>Complete</t>
  </si>
  <si>
    <t>Android, iOS, and web manifest naming updated.</t>
  </si>
  <si>
    <t>Users see the correct devotional app name.</t>
  </si>
  <si>
    <t>Logo</t>
  </si>
  <si>
    <t>Guru Vandan logo applied</t>
  </si>
  <si>
    <t>The shared Guru Vandan logo replaced the default Flutter icon.</t>
  </si>
  <si>
    <t>The app feels official and recognizable.</t>
  </si>
  <si>
    <t>Design</t>
  </si>
  <si>
    <t>Theme</t>
  </si>
  <si>
    <t>Spiritual crimson and off-white UI</t>
  </si>
  <si>
    <t>Crimson, off-white, soft gold, and calm devotional styling used throughout.</t>
  </si>
  <si>
    <t>The interface feels aligned with the spiritual school.</t>
  </si>
  <si>
    <t>Accessibility</t>
  </si>
  <si>
    <t>Elder-friendly visual layout</t>
  </si>
  <si>
    <t>Large text, simple actions, and spacious controls.</t>
  </si>
  <si>
    <t>Older devotees can use the app with less confusion.</t>
  </si>
  <si>
    <t>Language</t>
  </si>
  <si>
    <t>First launch</t>
  </si>
  <si>
    <t>Language selection before sign-in</t>
  </si>
  <si>
    <t>User chooses English or Hindi before authentication.</t>
  </si>
  <si>
    <t>The app starts in the user's preferred language.</t>
  </si>
  <si>
    <t>Settings</t>
  </si>
  <si>
    <t>Language switch in More</t>
  </si>
  <si>
    <t>Language can be changed later from the More page.</t>
  </si>
  <si>
    <t>Users can switch language anytime.</t>
  </si>
  <si>
    <t>Authentication</t>
  </si>
  <si>
    <t>Google</t>
  </si>
  <si>
    <t>Google sign-in</t>
  </si>
  <si>
    <t>Google authentication flow added through Firebase.</t>
  </si>
  <si>
    <t>Users can enter the app quickly with Google.</t>
  </si>
  <si>
    <t>Phone</t>
  </si>
  <si>
    <t>Phone OTP sign-in</t>
  </si>
  <si>
    <t>Phone number and OTP flow added.</t>
  </si>
  <si>
    <t>Users without Google login can still sign in.</t>
  </si>
  <si>
    <t>Return users</t>
  </si>
  <si>
    <t>Existing account handling</t>
  </si>
  <si>
    <t>Known users are not asked for name again after login.</t>
  </si>
  <si>
    <t>Repeat login feels smooth.</t>
  </si>
  <si>
    <t>Profile</t>
  </si>
  <si>
    <t>Onboarding</t>
  </si>
  <si>
    <t>First-time name setup</t>
  </si>
  <si>
    <t>First name, middle name, and last name captured separately.</t>
  </si>
  <si>
    <t>Profiles are cleaner and easier to personalize.</t>
  </si>
  <si>
    <t>Greeting</t>
  </si>
  <si>
    <t>Home shows first name only</t>
  </si>
  <si>
    <t>Greeting uses first name instead of full name.</t>
  </si>
  <si>
    <t>The home screen feels personal without being crowded.</t>
  </si>
  <si>
    <t>Edit name</t>
  </si>
  <si>
    <t>Change name option in More</t>
  </si>
  <si>
    <t>User can update name from the More page.</t>
  </si>
  <si>
    <t>Wrong or changed names can be corrected.</t>
  </si>
  <si>
    <t>Home</t>
  </si>
  <si>
    <t>Welcome</t>
  </si>
  <si>
    <t>Classy spiritual welcome popup</t>
  </si>
  <si>
    <t>Shown after new user signup/name setup.</t>
  </si>
  <si>
    <t>First entry feels warm and ceremonial.</t>
  </si>
  <si>
    <t>Navigation</t>
  </si>
  <si>
    <t>Morning, Evening, and Dhyan quick buttons</t>
  </si>
  <si>
    <t>Home cards navigate to their correct tabs/pages.</t>
  </si>
  <si>
    <t>Main routines are reachable in one tap.</t>
  </si>
  <si>
    <t>Information</t>
  </si>
  <si>
    <t>Collapsible About sections</t>
  </si>
  <si>
    <t>About Guru Maharaj and About Guru Vandan content added.</t>
  </si>
  <si>
    <t>Important context is present without overwhelming the home page.</t>
  </si>
  <si>
    <t>Routine</t>
  </si>
  <si>
    <t>Daily tracking</t>
  </si>
  <si>
    <t>Routine completion tracking</t>
  </si>
  <si>
    <t>Satsang, aarti, and meditation completion can be tracked.</t>
  </si>
  <si>
    <t>Devotees can see their daily spiritual practice progress.</t>
  </si>
  <si>
    <t>Satsang</t>
  </si>
  <si>
    <t>Morning</t>
  </si>
  <si>
    <t>Morning satsang audio bundled offline</t>
  </si>
  <si>
    <t>Morning satsang audio is inside the APK assets.</t>
  </si>
  <si>
    <t>No waiting for download before playback.</t>
  </si>
  <si>
    <t>Evening</t>
  </si>
  <si>
    <t>Evening satsang audio bundled offline</t>
  </si>
  <si>
    <t>Shaam satsang audio is inside the APK assets.</t>
  </si>
  <si>
    <t>Evening satsang works directly from the app.</t>
  </si>
  <si>
    <t>Aarti</t>
  </si>
  <si>
    <t>Aarti tab and audio</t>
  </si>
  <si>
    <t>Separate Aarti tab added with bundled Aarti audio.</t>
  </si>
  <si>
    <t>Aarti has its own clear place.</t>
  </si>
  <si>
    <t>Player</t>
  </si>
  <si>
    <t>Audio progress and duration</t>
  </si>
  <si>
    <t>Playback progress and total duration are shown.</t>
  </si>
  <si>
    <t>Users understand where they are in the satsang.</t>
  </si>
  <si>
    <t>Completion</t>
  </si>
  <si>
    <t>Complete button</t>
  </si>
  <si>
    <t>User can mark satsang and aarti as complete.</t>
  </si>
  <si>
    <t>Routine progress is explicit.</t>
  </si>
  <si>
    <t>Audio</t>
  </si>
  <si>
    <t>Silent mode</t>
  </si>
  <si>
    <t>Silent phone popup before playback</t>
  </si>
  <si>
    <t>Popup asks user to put phone on silent before satsang or meditation starts.</t>
  </si>
  <si>
    <t>Practice begins with fewer distractions.</t>
  </si>
  <si>
    <t>Background</t>
  </si>
  <si>
    <t>Background playback and notification</t>
  </si>
  <si>
    <t>Satsang, meditation, and Om continue when app is minimized.</t>
  </si>
  <si>
    <t>Audio does not stop during practice.</t>
  </si>
  <si>
    <t>Meditation</t>
  </si>
  <si>
    <t>Preset timer</t>
  </si>
  <si>
    <t>Preset meditation durations</t>
  </si>
  <si>
    <t>5, 10, 15, 20, 25, and 30 minute options.</t>
  </si>
  <si>
    <t>Users can start common sessions quickly.</t>
  </si>
  <si>
    <t>Custom timer</t>
  </si>
  <si>
    <t>Custom hours and minutes picker</t>
  </si>
  <si>
    <t>Scrollable custom time picker added.</t>
  </si>
  <si>
    <t>Longer or personal durations are supported.</t>
  </si>
  <si>
    <t>Controls</t>
  </si>
  <si>
    <t>Start, pause, and reset</t>
  </si>
  <si>
    <t>Timer control buttons added.</t>
  </si>
  <si>
    <t>Users stay in control of the session.</t>
  </si>
  <si>
    <t>Ending chant</t>
  </si>
  <si>
    <t>Chant plays only when timer ends</t>
  </si>
  <si>
    <t>Opening chant was removed; closing chant plays after timed meditation.</t>
  </si>
  <si>
    <t>Meditation time remains pure and uninterrupted.</t>
  </si>
  <si>
    <t>Om toggle</t>
  </si>
  <si>
    <t>Om mantra background audio</t>
  </si>
  <si>
    <t>Om audio can play endlessly when no meditation timer is running.</t>
  </si>
  <si>
    <t>Users can listen for calm focus outside timer sessions.</t>
  </si>
  <si>
    <t>Om with timer</t>
  </si>
  <si>
    <t>Om stops before final chant</t>
  </si>
  <si>
    <t>If timer is running, Om stops before the closing chant plays.</t>
  </si>
  <si>
    <t>Audio sequence remains clean.</t>
  </si>
  <si>
    <t>Streak</t>
  </si>
  <si>
    <t>Meditation streak</t>
  </si>
  <si>
    <t>Meditation-only streak logic</t>
  </si>
  <si>
    <t>Streak depends only on daily meditation continuity.</t>
  </si>
  <si>
    <t>Users are encouraged to meditate daily.</t>
  </si>
  <si>
    <t>Stats</t>
  </si>
  <si>
    <t>Current, best, and total meditation days</t>
  </si>
  <si>
    <t>Streak area explains continuity, not duration.</t>
  </si>
  <si>
    <t>The meaning of the streak is easy to understand.</t>
  </si>
  <si>
    <t>Wisdom</t>
  </si>
  <si>
    <t>Dynamic quotes</t>
  </si>
  <si>
    <t>Quotes fetched dynamically from Firebase</t>
  </si>
  <si>
    <t>Wisdom page loads all admin-uploaded quotes when online.</t>
  </si>
  <si>
    <t>New wisdom appears without rebuilding the app.</t>
  </si>
  <si>
    <t>Newest first</t>
  </si>
  <si>
    <t>Latest quote appears at top</t>
  </si>
  <si>
    <t>Admin quotes are ordered newest first.</t>
  </si>
  <si>
    <t>Fresh content is easy to find.</t>
  </si>
  <si>
    <t>Bilingual</t>
  </si>
  <si>
    <t>English and Hindi wisdom support</t>
  </si>
  <si>
    <t>Quote language follows the selected app language.</t>
  </si>
  <si>
    <t>Devotees get wisdom in their chosen language.</t>
  </si>
  <si>
    <t>Sharing</t>
  </si>
  <si>
    <t>Share button on each quote</t>
  </si>
  <si>
    <t>Quote sharing includes the quote text and app link.</t>
  </si>
  <si>
    <t>Users can share Sadguru wisdom through phone apps.</t>
  </si>
  <si>
    <t>Library count</t>
  </si>
  <si>
    <t>Wisdom page shows loaded quote count</t>
  </si>
  <si>
    <t>Shows how many quotes are available.</t>
  </si>
  <si>
    <t>Admin can verify content is reaching the app.</t>
  </si>
  <si>
    <t>More</t>
  </si>
  <si>
    <t>Modules</t>
  </si>
  <si>
    <t>Shop, Events, Guru Gallery, and Jigyasa</t>
  </si>
  <si>
    <t>Coming soon modules are placed inside More.</t>
  </si>
  <si>
    <t>Future features are visible without cluttering core tabs.</t>
  </si>
  <si>
    <t>Logout</t>
  </si>
  <si>
    <t>Logout with confirmation</t>
  </si>
  <si>
    <t>Logout returns user to the sign-in flow.</t>
  </si>
  <si>
    <t>Shared devices can be signed out cleanly.</t>
  </si>
  <si>
    <t>Admin</t>
  </si>
  <si>
    <t>Separate URL</t>
  </si>
  <si>
    <t>Admin page moved to separate route</t>
  </si>
  <si>
    <t>Admin is accessed through the admin URL only.</t>
  </si>
  <si>
    <t>Normal users do not see admin tools in More.</t>
  </si>
  <si>
    <t>Quotes</t>
  </si>
  <si>
    <t>Add bilingual wisdom quotes</t>
  </si>
  <si>
    <t>Admin can enter English and Hindi quote text and attribution.</t>
  </si>
  <si>
    <t>Spiritual content can be updated manually.</t>
  </si>
  <si>
    <t>Edit</t>
  </si>
  <si>
    <t>Edit existing wisdom quotes</t>
  </si>
  <si>
    <t>Already uploaded quotes can be edited.</t>
  </si>
  <si>
    <t>Mistakes can be corrected without database work.</t>
  </si>
  <si>
    <t>Activity</t>
  </si>
  <si>
    <t>User activity dashboard</t>
  </si>
  <si>
    <t>Admin can view user activity in chart and text form.</t>
  </si>
  <si>
    <t>Routine adoption can be monitored.</t>
  </si>
  <si>
    <t>Backend</t>
  </si>
  <si>
    <t>Firebase Auth</t>
  </si>
  <si>
    <t>Authentication backend</t>
  </si>
  <si>
    <t>Firebase Auth is used for Google and phone login.</t>
  </si>
  <si>
    <t>The app has real account-based access.</t>
  </si>
  <si>
    <t>Firebase Database</t>
  </si>
  <si>
    <t>Realtime data storage</t>
  </si>
  <si>
    <t>Users, quotes, routines, and activity are stored in Firebase Realtime Database.</t>
  </si>
  <si>
    <t>Admin changes can appear dynamically in the app.</t>
  </si>
  <si>
    <t>Build</t>
  </si>
  <si>
    <t>Android</t>
  </si>
  <si>
    <t>Release APK created</t>
  </si>
  <si>
    <t>Latest Android APK is ready for install and sharing.</t>
  </si>
  <si>
    <t>The app can be tested on Android devices.</t>
  </si>
  <si>
    <t>Web</t>
  </si>
  <si>
    <t>GitHub Pages web app deployed</t>
  </si>
  <si>
    <t>Live web app is deployed for browser review.</t>
  </si>
  <si>
    <t>The work can be shared with the team instantly.</t>
  </si>
  <si>
    <t>iOS</t>
  </si>
  <si>
    <t>iOS files prepared</t>
  </si>
  <si>
    <t>Ready</t>
  </si>
  <si>
    <t>iOS project files are ready for Mac or cloud compilation.</t>
  </si>
  <si>
    <t>The next step can happen on Mac/cloud without rebuilding from scratch.</t>
  </si>
  <si>
    <t>Version 2</t>
  </si>
  <si>
    <t>Vx.0 — Modern iOS-aligned visual refresh with shorter, heading-led content</t>
  </si>
  <si>
    <t>Vx.1 — Light/dark mode switch and readable dark-mode footer navigation</t>
  </si>
  <si>
    <t>Vx.2 — Daily Sacred Practice moved up, streak moved down, and first-timer streak corrected</t>
  </si>
  <si>
    <t>Vx.3 — Maharshi Mehi Paramhans and Satsang Samigri terminology updates</t>
  </si>
  <si>
    <t>Vx.4 — Daily quote schedule, future queue, quote-of-the-day logic, and archive</t>
  </si>
  <si>
    <t>Vx.5 — Quote sharing, exact-quote deep links, and Android/iOS store fallback</t>
  </si>
  <si>
    <t>Vx.6 — Persistent quote likes and user engagement event tracking</t>
  </si>
  <si>
    <t>Vx.7 — Browser admin portal with per-user timelines, combined statistics, and graphs</t>
  </si>
  <si>
    <t>Vx.8 — Seek sliders for satsang and aarti playback</t>
  </si>
  <si>
    <t>Vx.9 — Apple sign-in, provider linking, permanent account deletion, and session restore</t>
  </si>
  <si>
    <t>Vx.10 — Release 1.0.28 (31): meditation completion, lock-screen duration, and logout fixes</t>
  </si>
  <si>
    <t>Guru Vandan - Version 1 Feature Tracker</t>
  </si>
  <si>
    <t>Completed work through Android release 1.0.28 (31), including the three latest reliability fixes.</t>
  </si>
  <si>
    <t>Ready for internal testing</t>
  </si>
  <si>
    <t>Open</t>
  </si>
  <si>
    <t>Visual system</t>
  </si>
  <si>
    <t>iOS-aligned spiritual interface</t>
  </si>
  <si>
    <t>Refreshed cards, typography, spacing, navigation, and devotional colors across the app.</t>
  </si>
  <si>
    <t>A cleaner and more consistent experience on Android and iOS.</t>
  </si>
  <si>
    <t>Content</t>
  </si>
  <si>
    <t>Explanation text removed</t>
  </si>
  <si>
    <t>Long supporting copy was removed where a clear section heading already communicates the purpose.</t>
  </si>
  <si>
    <t>Screens are easier to scan and feel less crowded.</t>
  </si>
  <si>
    <t>Appearance</t>
  </si>
  <si>
    <t>Light and dark mode switch</t>
  </si>
  <si>
    <t>Users can change the visual theme from the app.</t>
  </si>
  <si>
    <t>Comfortable viewing in bright and low-light settings.</t>
  </si>
  <si>
    <t>Dark mode</t>
  </si>
  <si>
    <t>Readable footer navigation</t>
  </si>
  <si>
    <t>Footer labels and icons use high-contrast colors in dark mode.</t>
  </si>
  <si>
    <t>Every navigation label remains visible.</t>
  </si>
  <si>
    <t>Layout</t>
  </si>
  <si>
    <t>Daily Sacred Practice moved above streak</t>
  </si>
  <si>
    <t>The primary daily action appears before continuity statistics.</t>
  </si>
  <si>
    <t>Users reach the daily routine faster.</t>
  </si>
  <si>
    <t>First use</t>
  </si>
  <si>
    <t>Yesterday streak hidden for first-time users</t>
  </si>
  <si>
    <t>The previous-day indicator is omitted until the user has relevant history.</t>
  </si>
  <si>
    <t>New users are not shown misleading streak data.</t>
  </si>
  <si>
    <t>Attribution</t>
  </si>
  <si>
    <t>Maharshi Mehi Paramhans naming</t>
  </si>
  <si>
    <t>Previous Sadguru Maharaj wording was replaced throughout relevant app sections.</t>
  </si>
  <si>
    <t>Attribution is consistent with the approved name.</t>
  </si>
  <si>
    <t>Localization</t>
  </si>
  <si>
    <t>Satsang Samigri Hindi label</t>
  </si>
  <si>
    <t>The Hindi devotional-store wording was updated to Satsang Samigri.</t>
  </si>
  <si>
    <t>The label matches the requested terminology.</t>
  </si>
  <si>
    <t>Daily quote</t>
  </si>
  <si>
    <t>One scheduled quote per day</t>
  </si>
  <si>
    <t>Only the quote assigned to the current date is presented as the daily quote.</t>
  </si>
  <si>
    <t>Users receive a focused daily teaching.</t>
  </si>
  <si>
    <t>Queue</t>
  </si>
  <si>
    <t>Future quote scheduling</t>
  </si>
  <si>
    <t>Newly uploaded quotes fill upcoming dates in sequence.</t>
  </si>
  <si>
    <t>Administrators can prepare many days of content in advance.</t>
  </si>
  <si>
    <t>Archive</t>
  </si>
  <si>
    <t>Previous daily quotes archive</t>
  </si>
  <si>
    <t>Quotes move into the archive after their scheduled day.</t>
  </si>
  <si>
    <t>Users can revisit earlier teachings.</t>
  </si>
  <si>
    <t>Deep link</t>
  </si>
  <si>
    <t>Open the exact shared quote</t>
  </si>
  <si>
    <t>Shared links carry a quote identifier and route the installed app to that quote.</t>
  </si>
  <si>
    <t>Recipients land directly on the intended teaching.</t>
  </si>
  <si>
    <t>Store fallback</t>
  </si>
  <si>
    <t>Android and iOS install fallback</t>
  </si>
  <si>
    <t>Shared quote links provide Google Play and App Store destinations when the app is unavailable.</t>
  </si>
  <si>
    <t>Recipients can install the correct app for their device.</t>
  </si>
  <si>
    <t>Guru Vandan share presentation</t>
  </si>
  <si>
    <t>Quote sharing includes branded text, attribution, and a web/deep link.</t>
  </si>
  <si>
    <t>Shared content is recognizable and actionable.</t>
  </si>
  <si>
    <t>Engagement</t>
  </si>
  <si>
    <t>Persistent quote likes</t>
  </si>
  <si>
    <t>Quote likes are stored and included in analytics.</t>
  </si>
  <si>
    <t>Popular teachings can be identified.</t>
  </si>
  <si>
    <t>Satsang seek slider</t>
  </si>
  <si>
    <t>Users can drag the playback position backward or forward.</t>
  </si>
  <si>
    <t>Listeners can repeat or skip to a chosen part.</t>
  </si>
  <si>
    <t>Aarti seek slider</t>
  </si>
  <si>
    <t>Aarti playback supports direct position seeking.</t>
  </si>
  <si>
    <t>Users have consistent controls across audio sections.</t>
  </si>
  <si>
    <t>Analytics</t>
  </si>
  <si>
    <t>App usage</t>
  </si>
  <si>
    <t>App-open and screen-view tracking</t>
  </si>
  <si>
    <t>Key navigation and app lifecycle events are recorded in Firebase.</t>
  </si>
  <si>
    <t>The team can understand adoption and screen usage.</t>
  </si>
  <si>
    <t>Listening-time tracking</t>
  </si>
  <si>
    <t>Actual satsang and aarti playback time is recorded.</t>
  </si>
  <si>
    <t>The admin portal can report real listening engagement.</t>
  </si>
  <si>
    <t>Planned, actual, and completed time</t>
  </si>
  <si>
    <t>Meditation starts, elapsed time, and successful completions are tracked.</t>
  </si>
  <si>
    <t>The team can compare intent with completed practice.</t>
  </si>
  <si>
    <t>Quote views, shares, and likes</t>
  </si>
  <si>
    <t>Wisdom interactions are captured as structured events.</t>
  </si>
  <si>
    <t>The team can see which content users value.</t>
  </si>
  <si>
    <t>Access</t>
  </si>
  <si>
    <t>Browser admin portal</t>
  </si>
  <si>
    <t>A responsive Firebase-hosted admin page is protected by administrator email/password authentication.</t>
  </si>
  <si>
    <t>Authorized staff can manage the app from a phone or browser.</t>
  </si>
  <si>
    <t>Users</t>
  </si>
  <si>
    <t>Per-user activity timeline</t>
  </si>
  <si>
    <t>The portal shows what each user did and when.</t>
  </si>
  <si>
    <t>Support and engagement review can be user-specific.</t>
  </si>
  <si>
    <t>Dashboard</t>
  </si>
  <si>
    <t>Combined statistics and graphs</t>
  </si>
  <si>
    <t>Aggregate totals, seven-day activity, and activity breakdowns are visualized.</t>
  </si>
  <si>
    <t>Overall app usage is understandable at a glance.</t>
  </si>
  <si>
    <t>Quote management and scheduling</t>
  </si>
  <si>
    <t>Administrators can add, edit, schedule, and review quote content.</t>
  </si>
  <si>
    <t>Daily wisdom can be maintained without an app release.</t>
  </si>
  <si>
    <t>Security</t>
  </si>
  <si>
    <t>Admin-aware Firebase rules</t>
  </si>
  <si>
    <t>Database access rules protect administration and user activity data.</t>
  </si>
  <si>
    <t>Sensitive management functions remain restricted.</t>
  </si>
  <si>
    <t>Privacy</t>
  </si>
  <si>
    <t>Disclosure</t>
  </si>
  <si>
    <t>Analytics privacy disclosure</t>
  </si>
  <si>
    <t>The privacy page documents app activity collection and its operational purpose.</t>
  </si>
  <si>
    <t>Users and reviewers receive clearer data-use information.</t>
  </si>
  <si>
    <t>Apple</t>
  </si>
  <si>
    <t>Sign in with Apple</t>
  </si>
  <si>
    <t>Apple authentication is integrated for supported devices.</t>
  </si>
  <si>
    <t>iOS users have a platform-native login option.</t>
  </si>
  <si>
    <t>Linking</t>
  </si>
  <si>
    <t>Provider conflict handling</t>
  </si>
  <si>
    <t>Existing identities can be linked when the same account uses another provider.</t>
  </si>
  <si>
    <t>Users avoid accidental duplicate accounts.</t>
  </si>
  <si>
    <t>Account</t>
  </si>
  <si>
    <t>Deletion</t>
  </si>
  <si>
    <t>Permanent account deletion</t>
  </si>
  <si>
    <t>Users can permanently delete their account and associated records, including provider revocation handling.</t>
  </si>
  <si>
    <t>Account controls meet user and store expectations.</t>
  </si>
  <si>
    <t>Session</t>
  </si>
  <si>
    <t>Silent session restoration</t>
  </si>
  <si>
    <t>A valid Google/Firebase session is restored before showing sign-in after the app is closed.</t>
  </si>
  <si>
    <t>Closing the app no longer signs the user out.</t>
  </si>
  <si>
    <t>Om meditation completes correctly</t>
  </si>
  <si>
    <t>Timed Om playback now reaches the selected endpoint, plays the ending chant, and shows the completion message once.</t>
  </si>
  <si>
    <t>Users receive the expected end-of-session confirmation.</t>
  </si>
  <si>
    <t>Lock screen</t>
  </si>
  <si>
    <t>Correct timer duration in media controls</t>
  </si>
  <si>
    <t>The media source presented to Android uses the selected meditation duration instead of the full Om recording length.</t>
  </si>
  <si>
    <t>A one-minute session displays as one minute on the lock screen.</t>
  </si>
  <si>
    <t>Release</t>
  </si>
  <si>
    <t>Signed Play Store app bundle</t>
  </si>
  <si>
    <t>Version 1.0.28 with version code 31 was built, signed, and validated as an Android App Bundle.</t>
  </si>
  <si>
    <t>The corrected build is ready for internal testing upload.</t>
  </si>
  <si>
    <t>Quality</t>
  </si>
  <si>
    <t>Verification</t>
  </si>
  <si>
    <t>Static analysis, tests, and bundle validation</t>
  </si>
  <si>
    <t>Flutter analysis passed, 27 automated tests passed, and the AAB manifest/signature were verified.</t>
  </si>
  <si>
    <t>The release has repeatable technical checks before testing.</t>
  </si>
  <si>
    <t>Need to be done - received for Version 1 and resolved in this build</t>
  </si>
  <si>
    <t>Reported issue</t>
  </si>
  <si>
    <t>Resolution</t>
  </si>
  <si>
    <t>Verification / next check</t>
  </si>
  <si>
    <t>Timed Om meditation did not play the ending chant or show the completion message.</t>
  </si>
  <si>
    <t>Timed playback now ends at the selected duration and runs the normal completion flow.</t>
  </si>
  <si>
    <t>1.0.28 (31)</t>
  </si>
  <si>
    <t>Automated tests and release build passed; confirm once on an internal-test device.</t>
  </si>
  <si>
    <t>A one-minute meditation appeared as roughly three hours on the lock screen.</t>
  </si>
  <si>
    <t>Android media metadata now exposes the selected timer duration instead of the source recording duration.</t>
  </si>
  <si>
    <t>AAB metadata/signature verified; confirm the media notification on a physical Android device.</t>
  </si>
  <si>
    <t>Closing and reopening the app logged the user out.</t>
  </si>
  <si>
    <t>The app silently restores a valid Google/Firebase session before showing the sign-in screen.</t>
  </si>
  <si>
    <t>Authentication flow compiles and tests pass; confirm session persistence through internal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</si>
</sst>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6" formatCode="yyyy\-mm\-dd"/>
  </numFmts>
  <fonts count="14" x14ac:knownFonts="1">
    <font>
      <sz val="10"/>
      <color rgb="FF000000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i/>
      <sz val="10"/>
      <color rgb="FF6F625C"/>
      <name val="Arial"/>
    </font>
    <font>
      <b/>
      <sz val="10"/>
      <color rgb="FF7D1119"/>
      <name val="Arial"/>
    </font>
    <font>
      <b/>
      <sz val="10"/>
      <color rgb="FF7D1119"/>
      <name val="Arial"/>
    </font>
    <font>
      <sz val="10"/>
      <color rgb="FF2B2420"/>
      <name val="Arial"/>
    </font>
    <font>
      <sz val="10"/>
      <color theme="1"/>
      <name val="Arial"/>
    </font>
    <font>
      <sz val="10"/>
      <color rgb="FF2B2420"/>
      <name val="Arial"/>
    </font>
    <font>
      <b/>
      <sz val="10"/>
      <color rgb="FF1F6B3C"/>
      <name val="Arial"/>
    </font>
    <font>
      <b/>
      <sz val="10"/>
      <color rgb="FF936116"/>
      <name val="Arial"/>
    </font>
    <font>
      <b/>
      <sz val="12"/>
      <color rgb="FF7D1119"/>
      <name val="Arial"/>
    </font>
  </fonts>
  <fills count="16">
    <fill>
      <patternFill patternType="none"/>
    </fill>
    <fill>
      <patternFill patternType="gray125"/>
    </fill>
    <fill>
      <patternFill patternType="solid">
        <fgColor rgb="FF7D1119"/>
      </patternFill>
    </fill>
    <fill>
      <patternFill patternType="solid">
        <fgColor rgb="FF981B25"/>
      </patternFill>
    </fill>
    <fill>
      <patternFill patternType="solid">
        <fgColor rgb="FFFFF9F0"/>
      </patternFill>
    </fill>
    <fill>
      <patternFill patternType="solid">
        <fgColor rgb="FFF7E1E1"/>
      </patternFill>
    </fill>
    <fill>
      <patternFill patternType="solid">
        <fgColor rgb="FFFFFFFF"/>
      </patternFill>
    </fill>
    <fill>
      <patternFill patternType="solid">
        <fgColor rgb="FFEAF6EE"/>
      </patternFill>
    </fill>
    <fill>
      <patternFill patternType="solid">
        <fgColor rgb="FFFFF4D8"/>
      </patternFill>
    </fill>
    <fill>
      <patternFill patternType="solid">
        <fgColor rgb="FFFFF9F0"/>
      </patternFill>
    </fill>
    <fill>
      <patternFill patternType="solid">
        <fgColor rgb="FF981B25"/>
      </patternFill>
    </fill>
    <fill>
      <patternFill patternType="solid">
        <fgColor rgb="FFF7E1E1"/>
      </patternFill>
    </fill>
    <fill>
      <patternFill patternType="solid">
        <fgColor rgb="FF7D1119"/>
      </patternFill>
    </fill>
    <fill>
      <patternFill patternType="solid">
        <fgColor rgb="FFFFFFFF"/>
      </patternFill>
    </fill>
    <fill>
      <patternFill patternType="solid">
        <fgColor rgb="FFEAF6EE"/>
      </patternFill>
    </fill>
    <fill>
      <patternFill patternType="solid">
        <fgColor rgb="FFF3D08A"/>
      </patternFill>
    </fill>
  </fills>
  <borders count="11">
    <border>
      <left/>
      <right/>
      <top/>
      <bottom/>
      <diagonal/>
    </border>
    <border>
      <left style="thin">
        <color rgb="FFE4D3C4"/>
      </left>
      <right style="thin">
        <color rgb="FFE4D3C4"/>
      </right>
      <top style="thin">
        <color rgb="FFE4D3C4"/>
      </top>
      <bottom style="thin">
        <color rgb="FFE4D3C4"/>
      </bottom>
      <diagonal/>
    </border>
    <border>
      <left style="thin">
        <color rgb="FFE4D3C4"/>
      </left>
      <right style="thin">
        <color rgb="FFEFE3D7"/>
      </right>
      <top style="thin">
        <color rgb="FFE4D3C4"/>
      </top>
      <bottom style="thin">
        <color rgb="FFEFE3D7"/>
      </bottom>
      <diagonal/>
    </border>
    <border>
      <left style="thin">
        <color rgb="FFEFE3D7"/>
      </left>
      <right style="thin">
        <color rgb="FFEFE3D7"/>
      </right>
      <top style="thin">
        <color rgb="FFE4D3C4"/>
      </top>
      <bottom style="thin">
        <color rgb="FFEFE3D7"/>
      </bottom>
      <diagonal/>
    </border>
    <border>
      <left style="thin">
        <color rgb="FFEFE3D7"/>
      </left>
      <right style="thin">
        <color rgb="FFE4D3C4"/>
      </right>
      <top style="thin">
        <color rgb="FFE4D3C4"/>
      </top>
      <bottom style="thin">
        <color rgb="FFEFE3D7"/>
      </bottom>
      <diagonal/>
    </border>
    <border>
      <left style="thin">
        <color rgb="FFE4D3C4"/>
      </left>
      <right style="thin">
        <color rgb="FFEFE3D7"/>
      </right>
      <top style="thin">
        <color rgb="FFEFE3D7"/>
      </top>
      <bottom style="thin">
        <color rgb="FFEFE3D7"/>
      </bottom>
      <diagonal/>
    </border>
    <border>
      <left style="thin">
        <color rgb="FFEFE3D7"/>
      </left>
      <right style="thin">
        <color rgb="FFEFE3D7"/>
      </right>
      <top style="thin">
        <color rgb="FFEFE3D7"/>
      </top>
      <bottom style="thin">
        <color rgb="FFEFE3D7"/>
      </bottom>
      <diagonal/>
    </border>
    <border>
      <left style="thin">
        <color rgb="FFEFE3D7"/>
      </left>
      <right style="thin">
        <color rgb="FFE4D3C4"/>
      </right>
      <top style="thin">
        <color rgb="FFEFE3D7"/>
      </top>
      <bottom style="thin">
        <color rgb="FFEFE3D7"/>
      </bottom>
      <diagonal/>
    </border>
    <border>
      <left style="thin">
        <color rgb="FFE4D3C4"/>
      </left>
      <right style="thin">
        <color rgb="FFEFE3D7"/>
      </right>
      <top style="thin">
        <color rgb="FFEFE3D7"/>
      </top>
      <bottom style="thin">
        <color rgb="FFE4D3C4"/>
      </bottom>
      <diagonal/>
    </border>
    <border>
      <left style="thin">
        <color rgb="FFEFE3D7"/>
      </left>
      <right style="thin">
        <color rgb="FFEFE3D7"/>
      </right>
      <top style="thin">
        <color rgb="FFEFE3D7"/>
      </top>
      <bottom style="thin">
        <color rgb="FFE4D3C4"/>
      </bottom>
      <diagonal/>
    </border>
    <border>
      <left style="thin">
        <color rgb="FFEFE3D7"/>
      </left>
      <right style="thin">
        <color rgb="FFE4D3C4"/>
      </right>
      <top style="thin">
        <color rgb="FFEFE3D7"/>
      </top>
      <bottom style="thin">
        <color rgb="FFE4D3C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8" fillId="4" borderId="1" xfId="0" applyFont="1" applyFill="1" applyBorder="1" applyAlignment="1">
      <alignment vertical="top" wrapText="1"/>
    </xf>
    <xf numFmtId="164" fontId="9" fillId="0" borderId="1" xfId="0" applyNumberFormat="1" applyFont="1" applyBorder="1"/>
    <xf numFmtId="0" fontId="8" fillId="6" borderId="1" xfId="0" applyFont="1" applyFill="1" applyBorder="1" applyAlignment="1">
      <alignment wrapText="1"/>
    </xf>
    <xf numFmtId="0" fontId="10" fillId="6" borderId="1" xfId="0" applyFont="1" applyFill="1" applyBorder="1"/>
    <xf numFmtId="0" fontId="9" fillId="0" borderId="1" xfId="0" applyFont="1" applyBorder="1"/>
    <xf numFmtId="0" fontId="10" fillId="6" borderId="1" xfId="0" applyFont="1" applyFill="1" applyBorder="1" applyAlignment="1">
      <alignment wrapText="1"/>
    </xf>
    <xf numFmtId="0" fontId="10" fillId="4" borderId="1" xfId="0" applyFont="1" applyFill="1" applyBorder="1" applyAlignment="1">
      <alignment vertical="top" wrapText="1"/>
    </xf>
    <xf numFmtId="3" fontId="10" fillId="6" borderId="1" xfId="0" applyNumberFormat="1" applyFont="1" applyFill="1" applyBorder="1"/>
    <xf numFmtId="166" fontId="10" fillId="6" borderId="1" xfId="0" applyNumberFormat="1" applyFont="1" applyFill="1" applyBorder="1"/>
    <xf numFmtId="0" fontId="2" fillId="3" borderId="0" xfId="0" applyFont="1" applyFill="1" applyAlignment="1">
      <alignment horizontal="center"/>
    </xf>
    <xf numFmtId="0" fontId="7" fillId="4" borderId="2" xfId="0" applyFont="1" applyFill="1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horizontal="center" vertical="top" wrapText="1"/>
    </xf>
    <xf numFmtId="0" fontId="10" fillId="6" borderId="4" xfId="0" applyFont="1" applyFill="1" applyBorder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10" fillId="6" borderId="6" xfId="0" applyFont="1" applyFill="1" applyBorder="1" applyAlignment="1">
      <alignment vertical="top" wrapText="1"/>
    </xf>
    <xf numFmtId="0" fontId="11" fillId="7" borderId="6" xfId="0" applyFont="1" applyFill="1" applyBorder="1" applyAlignment="1">
      <alignment horizontal="center" vertical="top" wrapText="1"/>
    </xf>
    <xf numFmtId="0" fontId="10" fillId="6" borderId="7" xfId="0" applyFont="1" applyFill="1" applyBorder="1" applyAlignment="1">
      <alignment vertical="top" wrapText="1"/>
    </xf>
    <xf numFmtId="0" fontId="7" fillId="4" borderId="8" xfId="0" applyFont="1" applyFill="1" applyBorder="1" applyAlignment="1">
      <alignment vertical="top" wrapText="1"/>
    </xf>
    <xf numFmtId="0" fontId="10" fillId="6" borderId="9" xfId="0" applyFont="1" applyFill="1" applyBorder="1" applyAlignment="1">
      <alignment vertical="top" wrapText="1"/>
    </xf>
    <xf numFmtId="0" fontId="12" fillId="8" borderId="9" xfId="0" applyFont="1" applyFill="1" applyBorder="1" applyAlignment="1">
      <alignment horizontal="center" vertical="top" wrapText="1"/>
    </xf>
    <xf numFmtId="0" fontId="10" fillId="6" borderId="10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horizontal="center"/>
    </xf>
    <xf numFmtId="0" fontId="10" fillId="13" borderId="1" xfId="0" applyFont="1" applyFill="1" applyBorder="1"/>
    <xf numFmtId="0" fontId="7" fillId="11" borderId="1" xfId="0" applyFont="1" applyFill="1" applyBorder="1"/>
    <xf numFmtId="166" fontId="10" fillId="13" borderId="1" xfId="0" applyNumberFormat="1" applyFont="1" applyFill="1" applyBorder="1"/>
    <xf numFmtId="3" fontId="10" fillId="13" borderId="1" xfId="0" applyNumberFormat="1" applyFont="1" applyFill="1" applyBorder="1"/>
    <xf numFmtId="0" fontId="2" fillId="10" borderId="0" xfId="0" applyFont="1" applyFill="1" applyAlignment="1">
      <alignment horizontal="center"/>
    </xf>
    <xf numFmtId="0" fontId="10" fillId="13" borderId="3" xfId="0" applyFont="1" applyFill="1" applyBorder="1" applyAlignment="1">
      <alignment vertical="top" wrapText="1"/>
    </xf>
    <xf numFmtId="0" fontId="10" fillId="13" borderId="4" xfId="0" applyFont="1" applyFill="1" applyBorder="1" applyAlignment="1">
      <alignment vertical="top" wrapText="1"/>
    </xf>
    <xf numFmtId="0" fontId="10" fillId="13" borderId="6" xfId="0" applyFont="1" applyFill="1" applyBorder="1" applyAlignment="1">
      <alignment vertical="top" wrapText="1"/>
    </xf>
    <xf numFmtId="0" fontId="10" fillId="13" borderId="7" xfId="0" applyFont="1" applyFill="1" applyBorder="1" applyAlignment="1">
      <alignment vertical="top" wrapText="1"/>
    </xf>
    <xf numFmtId="0" fontId="10" fillId="13" borderId="9" xfId="0" applyFont="1" applyFill="1" applyBorder="1" applyAlignment="1">
      <alignment vertical="top" wrapText="1"/>
    </xf>
    <xf numFmtId="0" fontId="10" fillId="13" borderId="10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7" fillId="9" borderId="5" xfId="0" applyFont="1" applyFill="1" applyBorder="1" applyAlignment="1">
      <alignment vertical="top" wrapText="1"/>
    </xf>
    <xf numFmtId="0" fontId="7" fillId="9" borderId="8" xfId="0" applyFont="1" applyFill="1" applyBorder="1" applyAlignment="1">
      <alignment vertical="top" wrapText="1"/>
    </xf>
    <xf numFmtId="0" fontId="11" fillId="14" borderId="3" xfId="0" applyFont="1" applyFill="1" applyBorder="1" applyAlignment="1">
      <alignment horizontal="center" vertical="top" wrapText="1"/>
    </xf>
    <xf numFmtId="0" fontId="11" fillId="14" borderId="6" xfId="0" applyFont="1" applyFill="1" applyBorder="1" applyAlignment="1">
      <alignment horizontal="center" vertical="top" wrapText="1"/>
    </xf>
    <xf numFmtId="0" fontId="11" fillId="14" borderId="9" xfId="0" applyFont="1" applyFill="1" applyBorder="1" applyAlignment="1">
      <alignment horizontal="center" vertical="top" wrapText="1"/>
    </xf>
    <xf numFmtId="0" fontId="10" fillId="13" borderId="1" xfId="0" applyFont="1" applyFill="1" applyBorder="1" applyAlignment="1">
      <alignment vertical="top" wrapText="1"/>
    </xf>
    <xf numFmtId="0" fontId="11" fillId="14" borderId="1" xfId="0" applyFont="1" applyFill="1" applyBorder="1" applyAlignment="1">
      <alignment horizontal="center" vertical="top"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3" fillId="15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0" fillId="1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tabSelected="1" workbookViewId="0">
      <selection sqref="A1:E1"/>
    </sheetView>
  </sheetViews>
  <sheetFormatPr defaultColWidth="12.6640625" defaultRowHeight="13.2" x14ac:dyDescent="0.25"/>
  <cols>
    <col min="1" max="1" width="12" customWidth="1"/>
    <col min="2" max="3" width="52" customWidth="1"/>
    <col min="4" max="5" width="22" customWidth="1"/>
    <col min="6" max="6" width="12.6640625" customWidth="1"/>
  </cols>
  <sheetData>
    <row r="1" spans="1:5" ht="17.399999999999999" x14ac:dyDescent="0.3">
      <c r="A1" s="50" t="s">
        <v>0</v>
      </c>
      <c r="B1" s="49"/>
      <c r="C1" s="49"/>
      <c r="D1" s="49"/>
      <c r="E1" s="49"/>
    </row>
    <row r="2" spans="1:5" x14ac:dyDescent="0.25">
      <c r="A2" s="1"/>
      <c r="B2" s="2" t="s">
        <v>1</v>
      </c>
      <c r="C2" s="2" t="s">
        <v>2</v>
      </c>
      <c r="D2" s="29" t="s">
        <v>255</v>
      </c>
      <c r="E2" s="2" t="s">
        <v>3</v>
      </c>
    </row>
    <row r="3" spans="1:5" ht="46.05" customHeight="1" x14ac:dyDescent="0.25">
      <c r="A3" s="3" t="s">
        <v>4</v>
      </c>
      <c r="B3" s="5" t="s">
        <v>5</v>
      </c>
      <c r="C3" s="27" t="s">
        <v>256</v>
      </c>
      <c r="D3" s="7" t="s">
        <v>6</v>
      </c>
      <c r="E3" s="7" t="s">
        <v>7</v>
      </c>
    </row>
    <row r="4" spans="1:5" ht="46.05" customHeight="1" x14ac:dyDescent="0.25">
      <c r="A4" s="3" t="s">
        <v>8</v>
      </c>
      <c r="B4" s="5" t="s">
        <v>9</v>
      </c>
      <c r="C4" s="27" t="s">
        <v>257</v>
      </c>
      <c r="D4" s="7" t="s">
        <v>10</v>
      </c>
      <c r="E4" s="10"/>
    </row>
    <row r="5" spans="1:5" ht="46.05" customHeight="1" x14ac:dyDescent="0.25">
      <c r="A5" s="3" t="s">
        <v>11</v>
      </c>
      <c r="B5" s="5" t="s">
        <v>12</v>
      </c>
      <c r="C5" s="27" t="s">
        <v>258</v>
      </c>
      <c r="D5" s="10"/>
      <c r="E5" s="10"/>
    </row>
    <row r="6" spans="1:5" ht="46.05" customHeight="1" x14ac:dyDescent="0.25">
      <c r="A6" s="3" t="s">
        <v>13</v>
      </c>
      <c r="B6" s="11" t="s">
        <v>14</v>
      </c>
      <c r="C6" s="28" t="s">
        <v>259</v>
      </c>
      <c r="D6" s="10"/>
      <c r="E6" s="10"/>
    </row>
    <row r="7" spans="1:5" ht="46.05" customHeight="1" x14ac:dyDescent="0.25">
      <c r="A7" s="3" t="s">
        <v>15</v>
      </c>
      <c r="B7" s="11" t="s">
        <v>16</v>
      </c>
      <c r="C7" s="28" t="s">
        <v>260</v>
      </c>
      <c r="D7" s="10"/>
      <c r="E7" s="10"/>
    </row>
    <row r="8" spans="1:5" ht="46.05" customHeight="1" x14ac:dyDescent="0.25">
      <c r="A8" s="3" t="s">
        <v>17</v>
      </c>
      <c r="B8" s="11" t="s">
        <v>18</v>
      </c>
      <c r="C8" s="28" t="s">
        <v>261</v>
      </c>
      <c r="D8" s="10"/>
      <c r="E8" s="10"/>
    </row>
    <row r="9" spans="1:5" ht="46.05" customHeight="1" x14ac:dyDescent="0.25">
      <c r="A9" s="3" t="s">
        <v>19</v>
      </c>
      <c r="B9" s="11" t="s">
        <v>20</v>
      </c>
      <c r="C9" s="28" t="s">
        <v>262</v>
      </c>
      <c r="D9" s="10"/>
      <c r="E9" s="10"/>
    </row>
    <row r="10" spans="1:5" ht="46.05" customHeight="1" x14ac:dyDescent="0.25">
      <c r="A10" s="3" t="s">
        <v>21</v>
      </c>
      <c r="B10" s="11" t="s">
        <v>22</v>
      </c>
      <c r="C10" s="28" t="s">
        <v>263</v>
      </c>
      <c r="D10" s="10"/>
      <c r="E10" s="10"/>
    </row>
    <row r="11" spans="1:5" ht="46.05" customHeight="1" x14ac:dyDescent="0.25">
      <c r="A11" s="3" t="s">
        <v>23</v>
      </c>
      <c r="B11" s="11" t="s">
        <v>24</v>
      </c>
      <c r="C11" s="28" t="s">
        <v>264</v>
      </c>
      <c r="D11" s="10"/>
      <c r="E11" s="10"/>
    </row>
    <row r="12" spans="1:5" ht="46.05" customHeight="1" x14ac:dyDescent="0.25">
      <c r="A12" s="3" t="s">
        <v>25</v>
      </c>
      <c r="B12" s="11" t="s">
        <v>26</v>
      </c>
      <c r="C12" s="28" t="s">
        <v>265</v>
      </c>
      <c r="D12" s="10"/>
      <c r="E12" s="10"/>
    </row>
    <row r="13" spans="1:5" ht="46.05" customHeight="1" x14ac:dyDescent="0.25">
      <c r="A13" s="3" t="s">
        <v>27</v>
      </c>
      <c r="B13" s="11" t="s">
        <v>28</v>
      </c>
      <c r="C13" s="28" t="s">
        <v>266</v>
      </c>
      <c r="D13" s="10"/>
      <c r="E13" s="10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showGridLines="0" workbookViewId="0"/>
  </sheetViews>
  <sheetFormatPr defaultColWidth="12.6640625" defaultRowHeight="13.2" x14ac:dyDescent="0.25"/>
  <cols>
    <col min="1" max="1" width="35.77734375" customWidth="1"/>
    <col min="2" max="2" width="7.44140625" customWidth="1"/>
    <col min="3" max="3" width="14.88671875" customWidth="1"/>
    <col min="4" max="6" width="12.6640625" customWidth="1"/>
  </cols>
  <sheetData>
    <row r="1" spans="1:3" ht="17.399999999999999" x14ac:dyDescent="0.3">
      <c r="A1" s="50" t="s">
        <v>29</v>
      </c>
      <c r="B1" s="49"/>
      <c r="C1" s="49"/>
    </row>
    <row r="3" spans="1:3" x14ac:dyDescent="0.25">
      <c r="A3" s="2" t="s">
        <v>30</v>
      </c>
      <c r="B3" s="2" t="s">
        <v>31</v>
      </c>
      <c r="C3" s="2" t="s">
        <v>32</v>
      </c>
    </row>
    <row r="4" spans="1:3" x14ac:dyDescent="0.25">
      <c r="A4" s="6">
        <v>46249</v>
      </c>
      <c r="B4" s="9" t="s">
        <v>2</v>
      </c>
      <c r="C4" s="9" t="s">
        <v>33</v>
      </c>
    </row>
    <row r="5" spans="1:3" x14ac:dyDescent="0.25">
      <c r="A5" s="6">
        <v>46249</v>
      </c>
      <c r="B5" s="9" t="s">
        <v>2</v>
      </c>
      <c r="C5" s="9" t="s">
        <v>34</v>
      </c>
    </row>
    <row r="6" spans="1:3" x14ac:dyDescent="0.25">
      <c r="A6" s="6">
        <v>46249</v>
      </c>
      <c r="B6" s="9" t="s">
        <v>2</v>
      </c>
      <c r="C6" s="9" t="s">
        <v>35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showGridLines="0" workbookViewId="0"/>
  </sheetViews>
  <sheetFormatPr defaultColWidth="12.6640625" defaultRowHeight="13.2" x14ac:dyDescent="0.25"/>
  <cols>
    <col min="1" max="1" width="18" customWidth="1"/>
    <col min="2" max="2" width="20" customWidth="1"/>
    <col min="3" max="3" width="34" customWidth="1"/>
    <col min="4" max="4" width="14" customWidth="1"/>
    <col min="5" max="5" width="54" customWidth="1"/>
    <col min="6" max="6" width="44" customWidth="1"/>
    <col min="7" max="26" width="8.6640625" customWidth="1"/>
  </cols>
  <sheetData>
    <row r="1" spans="1:6" ht="21" x14ac:dyDescent="0.4">
      <c r="A1" s="51" t="s">
        <v>36</v>
      </c>
      <c r="B1" s="49"/>
      <c r="C1" s="49"/>
      <c r="D1" s="49"/>
      <c r="E1" s="49"/>
      <c r="F1" s="49"/>
    </row>
    <row r="2" spans="1:6" x14ac:dyDescent="0.25">
      <c r="A2" s="52" t="s">
        <v>37</v>
      </c>
      <c r="B2" s="49"/>
      <c r="C2" s="49"/>
      <c r="D2" s="49"/>
      <c r="E2" s="49"/>
      <c r="F2" s="49"/>
    </row>
    <row r="4" spans="1:6" x14ac:dyDescent="0.25">
      <c r="A4" s="4" t="s">
        <v>31</v>
      </c>
      <c r="B4" s="8" t="s">
        <v>1</v>
      </c>
      <c r="C4" s="8"/>
      <c r="D4" s="4" t="s">
        <v>38</v>
      </c>
      <c r="E4" s="12">
        <f>COUNTA(C9:C55)</f>
        <v>47</v>
      </c>
    </row>
    <row r="5" spans="1:6" x14ac:dyDescent="0.25">
      <c r="A5" s="4" t="s">
        <v>39</v>
      </c>
      <c r="B5" s="8" t="s">
        <v>40</v>
      </c>
      <c r="C5" s="8"/>
      <c r="D5" s="4" t="s">
        <v>41</v>
      </c>
      <c r="E5" s="12">
        <f>COUNTIF(D9:D55,"Complete")</f>
        <v>46</v>
      </c>
    </row>
    <row r="6" spans="1:6" x14ac:dyDescent="0.25">
      <c r="A6" s="4" t="s">
        <v>42</v>
      </c>
      <c r="B6" s="13">
        <v>46246</v>
      </c>
      <c r="C6" s="8"/>
      <c r="D6" s="4" t="s">
        <v>43</v>
      </c>
      <c r="E6" s="12">
        <f>COUNTIF(D9:D55,"Ready")</f>
        <v>1</v>
      </c>
    </row>
    <row r="8" spans="1:6" x14ac:dyDescent="0.25">
      <c r="A8" s="14" t="s">
        <v>44</v>
      </c>
      <c r="B8" s="14" t="s">
        <v>45</v>
      </c>
      <c r="C8" s="14" t="s">
        <v>46</v>
      </c>
      <c r="D8" s="14" t="s">
        <v>39</v>
      </c>
      <c r="E8" s="14" t="s">
        <v>47</v>
      </c>
      <c r="F8" s="14" t="s">
        <v>48</v>
      </c>
    </row>
    <row r="9" spans="1:6" ht="45.75" customHeight="1" x14ac:dyDescent="0.25">
      <c r="A9" s="15" t="s">
        <v>49</v>
      </c>
      <c r="B9" s="16" t="s">
        <v>50</v>
      </c>
      <c r="C9" s="16" t="s">
        <v>51</v>
      </c>
      <c r="D9" s="17" t="s">
        <v>52</v>
      </c>
      <c r="E9" s="16" t="s">
        <v>53</v>
      </c>
      <c r="F9" s="18" t="s">
        <v>54</v>
      </c>
    </row>
    <row r="10" spans="1:6" ht="45.75" customHeight="1" x14ac:dyDescent="0.25">
      <c r="A10" s="19" t="s">
        <v>49</v>
      </c>
      <c r="B10" s="20" t="s">
        <v>55</v>
      </c>
      <c r="C10" s="20" t="s">
        <v>56</v>
      </c>
      <c r="D10" s="21" t="s">
        <v>52</v>
      </c>
      <c r="E10" s="20" t="s">
        <v>57</v>
      </c>
      <c r="F10" s="22" t="s">
        <v>58</v>
      </c>
    </row>
    <row r="11" spans="1:6" ht="45.75" customHeight="1" x14ac:dyDescent="0.25">
      <c r="A11" s="19" t="s">
        <v>59</v>
      </c>
      <c r="B11" s="20" t="s">
        <v>60</v>
      </c>
      <c r="C11" s="20" t="s">
        <v>61</v>
      </c>
      <c r="D11" s="21" t="s">
        <v>52</v>
      </c>
      <c r="E11" s="20" t="s">
        <v>62</v>
      </c>
      <c r="F11" s="22" t="s">
        <v>63</v>
      </c>
    </row>
    <row r="12" spans="1:6" ht="45.75" customHeight="1" x14ac:dyDescent="0.25">
      <c r="A12" s="19" t="s">
        <v>59</v>
      </c>
      <c r="B12" s="20" t="s">
        <v>64</v>
      </c>
      <c r="C12" s="20" t="s">
        <v>65</v>
      </c>
      <c r="D12" s="21" t="s">
        <v>52</v>
      </c>
      <c r="E12" s="20" t="s">
        <v>66</v>
      </c>
      <c r="F12" s="22" t="s">
        <v>67</v>
      </c>
    </row>
    <row r="13" spans="1:6" ht="45.75" customHeight="1" x14ac:dyDescent="0.25">
      <c r="A13" s="19" t="s">
        <v>68</v>
      </c>
      <c r="B13" s="20" t="s">
        <v>69</v>
      </c>
      <c r="C13" s="20" t="s">
        <v>70</v>
      </c>
      <c r="D13" s="21" t="s">
        <v>52</v>
      </c>
      <c r="E13" s="20" t="s">
        <v>71</v>
      </c>
      <c r="F13" s="22" t="s">
        <v>72</v>
      </c>
    </row>
    <row r="14" spans="1:6" ht="45.75" customHeight="1" x14ac:dyDescent="0.25">
      <c r="A14" s="19" t="s">
        <v>68</v>
      </c>
      <c r="B14" s="20" t="s">
        <v>73</v>
      </c>
      <c r="C14" s="20" t="s">
        <v>74</v>
      </c>
      <c r="D14" s="21" t="s">
        <v>52</v>
      </c>
      <c r="E14" s="20" t="s">
        <v>75</v>
      </c>
      <c r="F14" s="22" t="s">
        <v>76</v>
      </c>
    </row>
    <row r="15" spans="1:6" ht="45.75" customHeight="1" x14ac:dyDescent="0.25">
      <c r="A15" s="19" t="s">
        <v>77</v>
      </c>
      <c r="B15" s="20" t="s">
        <v>78</v>
      </c>
      <c r="C15" s="20" t="s">
        <v>79</v>
      </c>
      <c r="D15" s="21" t="s">
        <v>52</v>
      </c>
      <c r="E15" s="20" t="s">
        <v>80</v>
      </c>
      <c r="F15" s="22" t="s">
        <v>81</v>
      </c>
    </row>
    <row r="16" spans="1:6" ht="45.75" customHeight="1" x14ac:dyDescent="0.25">
      <c r="A16" s="19" t="s">
        <v>77</v>
      </c>
      <c r="B16" s="20" t="s">
        <v>82</v>
      </c>
      <c r="C16" s="20" t="s">
        <v>83</v>
      </c>
      <c r="D16" s="21" t="s">
        <v>52</v>
      </c>
      <c r="E16" s="20" t="s">
        <v>84</v>
      </c>
      <c r="F16" s="22" t="s">
        <v>85</v>
      </c>
    </row>
    <row r="17" spans="1:6" ht="45.75" customHeight="1" x14ac:dyDescent="0.25">
      <c r="A17" s="19" t="s">
        <v>77</v>
      </c>
      <c r="B17" s="20" t="s">
        <v>86</v>
      </c>
      <c r="C17" s="20" t="s">
        <v>87</v>
      </c>
      <c r="D17" s="21" t="s">
        <v>52</v>
      </c>
      <c r="E17" s="20" t="s">
        <v>88</v>
      </c>
      <c r="F17" s="22" t="s">
        <v>89</v>
      </c>
    </row>
    <row r="18" spans="1:6" ht="45.75" customHeight="1" x14ac:dyDescent="0.25">
      <c r="A18" s="19" t="s">
        <v>90</v>
      </c>
      <c r="B18" s="20" t="s">
        <v>91</v>
      </c>
      <c r="C18" s="20" t="s">
        <v>92</v>
      </c>
      <c r="D18" s="21" t="s">
        <v>52</v>
      </c>
      <c r="E18" s="20" t="s">
        <v>93</v>
      </c>
      <c r="F18" s="22" t="s">
        <v>94</v>
      </c>
    </row>
    <row r="19" spans="1:6" ht="45.75" customHeight="1" x14ac:dyDescent="0.25">
      <c r="A19" s="19" t="s">
        <v>90</v>
      </c>
      <c r="B19" s="20" t="s">
        <v>95</v>
      </c>
      <c r="C19" s="20" t="s">
        <v>96</v>
      </c>
      <c r="D19" s="21" t="s">
        <v>52</v>
      </c>
      <c r="E19" s="20" t="s">
        <v>97</v>
      </c>
      <c r="F19" s="22" t="s">
        <v>98</v>
      </c>
    </row>
    <row r="20" spans="1:6" ht="45.75" customHeight="1" x14ac:dyDescent="0.25">
      <c r="A20" s="19" t="s">
        <v>90</v>
      </c>
      <c r="B20" s="20" t="s">
        <v>99</v>
      </c>
      <c r="C20" s="20" t="s">
        <v>100</v>
      </c>
      <c r="D20" s="21" t="s">
        <v>52</v>
      </c>
      <c r="E20" s="20" t="s">
        <v>101</v>
      </c>
      <c r="F20" s="22" t="s">
        <v>102</v>
      </c>
    </row>
    <row r="21" spans="1:6" ht="45.75" customHeight="1" x14ac:dyDescent="0.25">
      <c r="A21" s="19" t="s">
        <v>103</v>
      </c>
      <c r="B21" s="20" t="s">
        <v>104</v>
      </c>
      <c r="C21" s="20" t="s">
        <v>105</v>
      </c>
      <c r="D21" s="21" t="s">
        <v>52</v>
      </c>
      <c r="E21" s="20" t="s">
        <v>106</v>
      </c>
      <c r="F21" s="22" t="s">
        <v>107</v>
      </c>
    </row>
    <row r="22" spans="1:6" ht="45.75" customHeight="1" x14ac:dyDescent="0.25">
      <c r="A22" s="19" t="s">
        <v>103</v>
      </c>
      <c r="B22" s="20" t="s">
        <v>108</v>
      </c>
      <c r="C22" s="20" t="s">
        <v>109</v>
      </c>
      <c r="D22" s="21" t="s">
        <v>52</v>
      </c>
      <c r="E22" s="20" t="s">
        <v>110</v>
      </c>
      <c r="F22" s="22" t="s">
        <v>111</v>
      </c>
    </row>
    <row r="23" spans="1:6" ht="45.75" customHeight="1" x14ac:dyDescent="0.25">
      <c r="A23" s="19" t="s">
        <v>103</v>
      </c>
      <c r="B23" s="20" t="s">
        <v>112</v>
      </c>
      <c r="C23" s="20" t="s">
        <v>113</v>
      </c>
      <c r="D23" s="21" t="s">
        <v>52</v>
      </c>
      <c r="E23" s="20" t="s">
        <v>114</v>
      </c>
      <c r="F23" s="22" t="s">
        <v>115</v>
      </c>
    </row>
    <row r="24" spans="1:6" ht="45.75" customHeight="1" x14ac:dyDescent="0.25">
      <c r="A24" s="19" t="s">
        <v>116</v>
      </c>
      <c r="B24" s="20" t="s">
        <v>117</v>
      </c>
      <c r="C24" s="20" t="s">
        <v>118</v>
      </c>
      <c r="D24" s="21" t="s">
        <v>52</v>
      </c>
      <c r="E24" s="20" t="s">
        <v>119</v>
      </c>
      <c r="F24" s="22" t="s">
        <v>120</v>
      </c>
    </row>
    <row r="25" spans="1:6" ht="45.75" customHeight="1" x14ac:dyDescent="0.25">
      <c r="A25" s="19" t="s">
        <v>121</v>
      </c>
      <c r="B25" s="20" t="s">
        <v>122</v>
      </c>
      <c r="C25" s="20" t="s">
        <v>123</v>
      </c>
      <c r="D25" s="21" t="s">
        <v>52</v>
      </c>
      <c r="E25" s="20" t="s">
        <v>124</v>
      </c>
      <c r="F25" s="22" t="s">
        <v>125</v>
      </c>
    </row>
    <row r="26" spans="1:6" ht="45.75" customHeight="1" x14ac:dyDescent="0.25">
      <c r="A26" s="19" t="s">
        <v>121</v>
      </c>
      <c r="B26" s="20" t="s">
        <v>126</v>
      </c>
      <c r="C26" s="20" t="s">
        <v>127</v>
      </c>
      <c r="D26" s="21" t="s">
        <v>52</v>
      </c>
      <c r="E26" s="20" t="s">
        <v>128</v>
      </c>
      <c r="F26" s="22" t="s">
        <v>129</v>
      </c>
    </row>
    <row r="27" spans="1:6" ht="45.75" customHeight="1" x14ac:dyDescent="0.25">
      <c r="A27" s="19" t="s">
        <v>121</v>
      </c>
      <c r="B27" s="20" t="s">
        <v>130</v>
      </c>
      <c r="C27" s="20" t="s">
        <v>131</v>
      </c>
      <c r="D27" s="21" t="s">
        <v>52</v>
      </c>
      <c r="E27" s="20" t="s">
        <v>132</v>
      </c>
      <c r="F27" s="22" t="s">
        <v>133</v>
      </c>
    </row>
    <row r="28" spans="1:6" ht="45.75" customHeight="1" x14ac:dyDescent="0.25">
      <c r="A28" s="19" t="s">
        <v>121</v>
      </c>
      <c r="B28" s="20" t="s">
        <v>134</v>
      </c>
      <c r="C28" s="20" t="s">
        <v>135</v>
      </c>
      <c r="D28" s="21" t="s">
        <v>52</v>
      </c>
      <c r="E28" s="20" t="s">
        <v>136</v>
      </c>
      <c r="F28" s="22" t="s">
        <v>137</v>
      </c>
    </row>
    <row r="29" spans="1:6" ht="45.75" customHeight="1" x14ac:dyDescent="0.25">
      <c r="A29" s="19" t="s">
        <v>121</v>
      </c>
      <c r="B29" s="20" t="s">
        <v>138</v>
      </c>
      <c r="C29" s="20" t="s">
        <v>139</v>
      </c>
      <c r="D29" s="21" t="s">
        <v>52</v>
      </c>
      <c r="E29" s="20" t="s">
        <v>140</v>
      </c>
      <c r="F29" s="22" t="s">
        <v>141</v>
      </c>
    </row>
    <row r="30" spans="1:6" ht="45.75" customHeight="1" x14ac:dyDescent="0.25">
      <c r="A30" s="19" t="s">
        <v>142</v>
      </c>
      <c r="B30" s="20" t="s">
        <v>143</v>
      </c>
      <c r="C30" s="20" t="s">
        <v>144</v>
      </c>
      <c r="D30" s="21" t="s">
        <v>52</v>
      </c>
      <c r="E30" s="20" t="s">
        <v>145</v>
      </c>
      <c r="F30" s="22" t="s">
        <v>146</v>
      </c>
    </row>
    <row r="31" spans="1:6" ht="45.75" customHeight="1" x14ac:dyDescent="0.25">
      <c r="A31" s="19" t="s">
        <v>142</v>
      </c>
      <c r="B31" s="20" t="s">
        <v>147</v>
      </c>
      <c r="C31" s="20" t="s">
        <v>148</v>
      </c>
      <c r="D31" s="21" t="s">
        <v>52</v>
      </c>
      <c r="E31" s="20" t="s">
        <v>149</v>
      </c>
      <c r="F31" s="22" t="s">
        <v>150</v>
      </c>
    </row>
    <row r="32" spans="1:6" ht="45.75" customHeight="1" x14ac:dyDescent="0.25">
      <c r="A32" s="19" t="s">
        <v>151</v>
      </c>
      <c r="B32" s="20" t="s">
        <v>152</v>
      </c>
      <c r="C32" s="20" t="s">
        <v>153</v>
      </c>
      <c r="D32" s="21" t="s">
        <v>52</v>
      </c>
      <c r="E32" s="20" t="s">
        <v>154</v>
      </c>
      <c r="F32" s="22" t="s">
        <v>155</v>
      </c>
    </row>
    <row r="33" spans="1:6" ht="45.75" customHeight="1" x14ac:dyDescent="0.25">
      <c r="A33" s="19" t="s">
        <v>151</v>
      </c>
      <c r="B33" s="20" t="s">
        <v>156</v>
      </c>
      <c r="C33" s="20" t="s">
        <v>157</v>
      </c>
      <c r="D33" s="21" t="s">
        <v>52</v>
      </c>
      <c r="E33" s="20" t="s">
        <v>158</v>
      </c>
      <c r="F33" s="22" t="s">
        <v>159</v>
      </c>
    </row>
    <row r="34" spans="1:6" ht="45.75" customHeight="1" x14ac:dyDescent="0.25">
      <c r="A34" s="19" t="s">
        <v>151</v>
      </c>
      <c r="B34" s="20" t="s">
        <v>160</v>
      </c>
      <c r="C34" s="20" t="s">
        <v>161</v>
      </c>
      <c r="D34" s="21" t="s">
        <v>52</v>
      </c>
      <c r="E34" s="20" t="s">
        <v>162</v>
      </c>
      <c r="F34" s="22" t="s">
        <v>163</v>
      </c>
    </row>
    <row r="35" spans="1:6" ht="45.75" customHeight="1" x14ac:dyDescent="0.25">
      <c r="A35" s="19" t="s">
        <v>151</v>
      </c>
      <c r="B35" s="20" t="s">
        <v>164</v>
      </c>
      <c r="C35" s="20" t="s">
        <v>165</v>
      </c>
      <c r="D35" s="21" t="s">
        <v>52</v>
      </c>
      <c r="E35" s="20" t="s">
        <v>166</v>
      </c>
      <c r="F35" s="22" t="s">
        <v>167</v>
      </c>
    </row>
    <row r="36" spans="1:6" ht="45.75" customHeight="1" x14ac:dyDescent="0.25">
      <c r="A36" s="19" t="s">
        <v>151</v>
      </c>
      <c r="B36" s="20" t="s">
        <v>168</v>
      </c>
      <c r="C36" s="20" t="s">
        <v>169</v>
      </c>
      <c r="D36" s="21" t="s">
        <v>52</v>
      </c>
      <c r="E36" s="20" t="s">
        <v>170</v>
      </c>
      <c r="F36" s="22" t="s">
        <v>171</v>
      </c>
    </row>
    <row r="37" spans="1:6" ht="45.75" customHeight="1" x14ac:dyDescent="0.25">
      <c r="A37" s="19" t="s">
        <v>151</v>
      </c>
      <c r="B37" s="20" t="s">
        <v>172</v>
      </c>
      <c r="C37" s="20" t="s">
        <v>173</v>
      </c>
      <c r="D37" s="21" t="s">
        <v>52</v>
      </c>
      <c r="E37" s="20" t="s">
        <v>174</v>
      </c>
      <c r="F37" s="22" t="s">
        <v>175</v>
      </c>
    </row>
    <row r="38" spans="1:6" ht="45.75" customHeight="1" x14ac:dyDescent="0.25">
      <c r="A38" s="19" t="s">
        <v>176</v>
      </c>
      <c r="B38" s="20" t="s">
        <v>177</v>
      </c>
      <c r="C38" s="20" t="s">
        <v>178</v>
      </c>
      <c r="D38" s="21" t="s">
        <v>52</v>
      </c>
      <c r="E38" s="20" t="s">
        <v>179</v>
      </c>
      <c r="F38" s="22" t="s">
        <v>180</v>
      </c>
    </row>
    <row r="39" spans="1:6" ht="45.75" customHeight="1" x14ac:dyDescent="0.25">
      <c r="A39" s="19" t="s">
        <v>176</v>
      </c>
      <c r="B39" s="20" t="s">
        <v>181</v>
      </c>
      <c r="C39" s="20" t="s">
        <v>182</v>
      </c>
      <c r="D39" s="21" t="s">
        <v>52</v>
      </c>
      <c r="E39" s="20" t="s">
        <v>183</v>
      </c>
      <c r="F39" s="22" t="s">
        <v>184</v>
      </c>
    </row>
    <row r="40" spans="1:6" ht="45.75" customHeight="1" x14ac:dyDescent="0.25">
      <c r="A40" s="19" t="s">
        <v>185</v>
      </c>
      <c r="B40" s="20" t="s">
        <v>186</v>
      </c>
      <c r="C40" s="20" t="s">
        <v>187</v>
      </c>
      <c r="D40" s="21" t="s">
        <v>52</v>
      </c>
      <c r="E40" s="20" t="s">
        <v>188</v>
      </c>
      <c r="F40" s="22" t="s">
        <v>189</v>
      </c>
    </row>
    <row r="41" spans="1:6" ht="45.75" customHeight="1" x14ac:dyDescent="0.25">
      <c r="A41" s="19" t="s">
        <v>185</v>
      </c>
      <c r="B41" s="20" t="s">
        <v>190</v>
      </c>
      <c r="C41" s="20" t="s">
        <v>191</v>
      </c>
      <c r="D41" s="21" t="s">
        <v>52</v>
      </c>
      <c r="E41" s="20" t="s">
        <v>192</v>
      </c>
      <c r="F41" s="22" t="s">
        <v>193</v>
      </c>
    </row>
    <row r="42" spans="1:6" ht="45.75" customHeight="1" x14ac:dyDescent="0.25">
      <c r="A42" s="19" t="s">
        <v>185</v>
      </c>
      <c r="B42" s="20" t="s">
        <v>194</v>
      </c>
      <c r="C42" s="20" t="s">
        <v>195</v>
      </c>
      <c r="D42" s="21" t="s">
        <v>52</v>
      </c>
      <c r="E42" s="20" t="s">
        <v>196</v>
      </c>
      <c r="F42" s="22" t="s">
        <v>197</v>
      </c>
    </row>
    <row r="43" spans="1:6" ht="45.75" customHeight="1" x14ac:dyDescent="0.25">
      <c r="A43" s="19" t="s">
        <v>185</v>
      </c>
      <c r="B43" s="20" t="s">
        <v>198</v>
      </c>
      <c r="C43" s="20" t="s">
        <v>199</v>
      </c>
      <c r="D43" s="21" t="s">
        <v>52</v>
      </c>
      <c r="E43" s="20" t="s">
        <v>200</v>
      </c>
      <c r="F43" s="22" t="s">
        <v>201</v>
      </c>
    </row>
    <row r="44" spans="1:6" ht="45.75" customHeight="1" x14ac:dyDescent="0.25">
      <c r="A44" s="19" t="s">
        <v>185</v>
      </c>
      <c r="B44" s="20" t="s">
        <v>202</v>
      </c>
      <c r="C44" s="20" t="s">
        <v>203</v>
      </c>
      <c r="D44" s="21" t="s">
        <v>52</v>
      </c>
      <c r="E44" s="20" t="s">
        <v>204</v>
      </c>
      <c r="F44" s="22" t="s">
        <v>205</v>
      </c>
    </row>
    <row r="45" spans="1:6" ht="45.75" customHeight="1" x14ac:dyDescent="0.25">
      <c r="A45" s="19" t="s">
        <v>206</v>
      </c>
      <c r="B45" s="20" t="s">
        <v>207</v>
      </c>
      <c r="C45" s="20" t="s">
        <v>208</v>
      </c>
      <c r="D45" s="21" t="s">
        <v>52</v>
      </c>
      <c r="E45" s="20" t="s">
        <v>209</v>
      </c>
      <c r="F45" s="22" t="s">
        <v>210</v>
      </c>
    </row>
    <row r="46" spans="1:6" ht="45.75" customHeight="1" x14ac:dyDescent="0.25">
      <c r="A46" s="19" t="s">
        <v>206</v>
      </c>
      <c r="B46" s="20" t="s">
        <v>211</v>
      </c>
      <c r="C46" s="20" t="s">
        <v>212</v>
      </c>
      <c r="D46" s="21" t="s">
        <v>52</v>
      </c>
      <c r="E46" s="20" t="s">
        <v>213</v>
      </c>
      <c r="F46" s="22" t="s">
        <v>214</v>
      </c>
    </row>
    <row r="47" spans="1:6" ht="45.75" customHeight="1" x14ac:dyDescent="0.25">
      <c r="A47" s="19" t="s">
        <v>215</v>
      </c>
      <c r="B47" s="20" t="s">
        <v>216</v>
      </c>
      <c r="C47" s="20" t="s">
        <v>217</v>
      </c>
      <c r="D47" s="21" t="s">
        <v>52</v>
      </c>
      <c r="E47" s="20" t="s">
        <v>218</v>
      </c>
      <c r="F47" s="22" t="s">
        <v>219</v>
      </c>
    </row>
    <row r="48" spans="1:6" ht="45.75" customHeight="1" x14ac:dyDescent="0.25">
      <c r="A48" s="19" t="s">
        <v>215</v>
      </c>
      <c r="B48" s="20" t="s">
        <v>220</v>
      </c>
      <c r="C48" s="20" t="s">
        <v>221</v>
      </c>
      <c r="D48" s="21" t="s">
        <v>52</v>
      </c>
      <c r="E48" s="20" t="s">
        <v>222</v>
      </c>
      <c r="F48" s="22" t="s">
        <v>223</v>
      </c>
    </row>
    <row r="49" spans="1:6" ht="45.75" customHeight="1" x14ac:dyDescent="0.25">
      <c r="A49" s="19" t="s">
        <v>215</v>
      </c>
      <c r="B49" s="20" t="s">
        <v>224</v>
      </c>
      <c r="C49" s="20" t="s">
        <v>225</v>
      </c>
      <c r="D49" s="21" t="s">
        <v>52</v>
      </c>
      <c r="E49" s="20" t="s">
        <v>226</v>
      </c>
      <c r="F49" s="22" t="s">
        <v>227</v>
      </c>
    </row>
    <row r="50" spans="1:6" ht="45.75" customHeight="1" x14ac:dyDescent="0.25">
      <c r="A50" s="19" t="s">
        <v>215</v>
      </c>
      <c r="B50" s="20" t="s">
        <v>228</v>
      </c>
      <c r="C50" s="20" t="s">
        <v>229</v>
      </c>
      <c r="D50" s="21" t="s">
        <v>52</v>
      </c>
      <c r="E50" s="20" t="s">
        <v>230</v>
      </c>
      <c r="F50" s="22" t="s">
        <v>231</v>
      </c>
    </row>
    <row r="51" spans="1:6" ht="45.75" customHeight="1" x14ac:dyDescent="0.25">
      <c r="A51" s="19" t="s">
        <v>232</v>
      </c>
      <c r="B51" s="20" t="s">
        <v>233</v>
      </c>
      <c r="C51" s="20" t="s">
        <v>234</v>
      </c>
      <c r="D51" s="21" t="s">
        <v>52</v>
      </c>
      <c r="E51" s="20" t="s">
        <v>235</v>
      </c>
      <c r="F51" s="22" t="s">
        <v>236</v>
      </c>
    </row>
    <row r="52" spans="1:6" ht="45.75" customHeight="1" x14ac:dyDescent="0.25">
      <c r="A52" s="19" t="s">
        <v>232</v>
      </c>
      <c r="B52" s="20" t="s">
        <v>237</v>
      </c>
      <c r="C52" s="20" t="s">
        <v>238</v>
      </c>
      <c r="D52" s="21" t="s">
        <v>52</v>
      </c>
      <c r="E52" s="20" t="s">
        <v>239</v>
      </c>
      <c r="F52" s="22" t="s">
        <v>240</v>
      </c>
    </row>
    <row r="53" spans="1:6" ht="45.75" customHeight="1" x14ac:dyDescent="0.25">
      <c r="A53" s="19" t="s">
        <v>241</v>
      </c>
      <c r="B53" s="20" t="s">
        <v>242</v>
      </c>
      <c r="C53" s="20" t="s">
        <v>243</v>
      </c>
      <c r="D53" s="21" t="s">
        <v>52</v>
      </c>
      <c r="E53" s="20" t="s">
        <v>244</v>
      </c>
      <c r="F53" s="22" t="s">
        <v>245</v>
      </c>
    </row>
    <row r="54" spans="1:6" ht="45.75" customHeight="1" x14ac:dyDescent="0.25">
      <c r="A54" s="19" t="s">
        <v>241</v>
      </c>
      <c r="B54" s="20" t="s">
        <v>246</v>
      </c>
      <c r="C54" s="20" t="s">
        <v>247</v>
      </c>
      <c r="D54" s="21" t="s">
        <v>52</v>
      </c>
      <c r="E54" s="20" t="s">
        <v>248</v>
      </c>
      <c r="F54" s="22" t="s">
        <v>249</v>
      </c>
    </row>
    <row r="55" spans="1:6" ht="45.75" customHeight="1" x14ac:dyDescent="0.25">
      <c r="A55" s="23" t="s">
        <v>241</v>
      </c>
      <c r="B55" s="24" t="s">
        <v>250</v>
      </c>
      <c r="C55" s="24" t="s">
        <v>251</v>
      </c>
      <c r="D55" s="25" t="s">
        <v>252</v>
      </c>
      <c r="E55" s="24" t="s">
        <v>253</v>
      </c>
      <c r="F55" s="26" t="s">
        <v>254</v>
      </c>
    </row>
  </sheetData>
  <mergeCells count="2">
    <mergeCell ref="A1:F1"/>
    <mergeCell ref="A2:F2"/>
  </mergeCells>
  <dataValidations count="1">
    <dataValidation type="list" allowBlank="1" sqref="D9:D55" xr:uid="{00000000-0002-0000-0300-000000000000}">
      <formula1>"Complete,Ready,Planned,Blocked"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"/>
  <sheetViews>
    <sheetView showGridLines="0" workbookViewId="0">
      <pane ySplit="8" topLeftCell="A9" activePane="bottomLeft" state="frozen"/>
      <selection pane="bottomLeft"/>
    </sheetView>
  </sheetViews>
  <sheetFormatPr defaultRowHeight="13.2" x14ac:dyDescent="0.25"/>
  <cols>
    <col min="1" max="1" width="20" customWidth="1"/>
    <col min="2" max="2" width="22" customWidth="1"/>
    <col min="3" max="3" width="34" customWidth="1"/>
    <col min="4" max="4" width="15" customWidth="1"/>
    <col min="5" max="5" width="54" customWidth="1"/>
    <col min="6" max="6" width="44" customWidth="1"/>
  </cols>
  <sheetData>
    <row r="1" spans="1:6" ht="21" x14ac:dyDescent="0.4">
      <c r="A1" s="53" t="s">
        <v>267</v>
      </c>
      <c r="B1" s="53"/>
      <c r="C1" s="53"/>
      <c r="D1" s="53"/>
      <c r="E1" s="53"/>
      <c r="F1" s="53"/>
    </row>
    <row r="2" spans="1:6" x14ac:dyDescent="0.25">
      <c r="A2" s="54" t="s">
        <v>268</v>
      </c>
      <c r="B2" s="54"/>
      <c r="C2" s="54"/>
      <c r="D2" s="54"/>
      <c r="E2" s="54"/>
      <c r="F2" s="54"/>
    </row>
    <row r="4" spans="1:6" x14ac:dyDescent="0.25">
      <c r="A4" s="31" t="s">
        <v>31</v>
      </c>
      <c r="B4" s="30" t="s">
        <v>2</v>
      </c>
      <c r="C4" s="30"/>
      <c r="D4" s="31" t="s">
        <v>38</v>
      </c>
      <c r="E4" s="33">
        <f>COUNTA(C9:C43)</f>
        <v>35</v>
      </c>
    </row>
    <row r="5" spans="1:6" x14ac:dyDescent="0.25">
      <c r="A5" s="31" t="s">
        <v>39</v>
      </c>
      <c r="B5" s="30" t="s">
        <v>269</v>
      </c>
      <c r="C5" s="30"/>
      <c r="D5" s="31" t="s">
        <v>41</v>
      </c>
      <c r="E5" s="33">
        <f>COUNTIF(D9:D43,"Complete")</f>
        <v>35</v>
      </c>
    </row>
    <row r="6" spans="1:6" x14ac:dyDescent="0.25">
      <c r="A6" s="31" t="s">
        <v>42</v>
      </c>
      <c r="B6" s="32">
        <v>46285</v>
      </c>
      <c r="C6" s="30"/>
      <c r="D6" s="31" t="s">
        <v>270</v>
      </c>
      <c r="E6" s="33">
        <f>COUNTIF(D9:D43,"&lt;&gt;Complete")</f>
        <v>0</v>
      </c>
    </row>
    <row r="8" spans="1:6" x14ac:dyDescent="0.25">
      <c r="A8" s="34" t="s">
        <v>44</v>
      </c>
      <c r="B8" s="34" t="s">
        <v>45</v>
      </c>
      <c r="C8" s="34" t="s">
        <v>46</v>
      </c>
      <c r="D8" s="34" t="s">
        <v>39</v>
      </c>
      <c r="E8" s="34" t="s">
        <v>47</v>
      </c>
      <c r="F8" s="34" t="s">
        <v>48</v>
      </c>
    </row>
    <row r="9" spans="1:6" ht="48" customHeight="1" x14ac:dyDescent="0.25">
      <c r="A9" s="41" t="s">
        <v>59</v>
      </c>
      <c r="B9" s="35" t="s">
        <v>271</v>
      </c>
      <c r="C9" s="35" t="s">
        <v>272</v>
      </c>
      <c r="D9" s="44" t="s">
        <v>52</v>
      </c>
      <c r="E9" s="35" t="s">
        <v>273</v>
      </c>
      <c r="F9" s="36" t="s">
        <v>274</v>
      </c>
    </row>
    <row r="10" spans="1:6" ht="48" customHeight="1" x14ac:dyDescent="0.25">
      <c r="A10" s="42" t="s">
        <v>59</v>
      </c>
      <c r="B10" s="37" t="s">
        <v>275</v>
      </c>
      <c r="C10" s="37" t="s">
        <v>276</v>
      </c>
      <c r="D10" s="45" t="s">
        <v>52</v>
      </c>
      <c r="E10" s="37" t="s">
        <v>277</v>
      </c>
      <c r="F10" s="38" t="s">
        <v>278</v>
      </c>
    </row>
    <row r="11" spans="1:6" ht="48" customHeight="1" x14ac:dyDescent="0.25">
      <c r="A11" s="42" t="s">
        <v>279</v>
      </c>
      <c r="B11" s="37" t="s">
        <v>60</v>
      </c>
      <c r="C11" s="37" t="s">
        <v>280</v>
      </c>
      <c r="D11" s="45" t="s">
        <v>52</v>
      </c>
      <c r="E11" s="37" t="s">
        <v>281</v>
      </c>
      <c r="F11" s="38" t="s">
        <v>282</v>
      </c>
    </row>
    <row r="12" spans="1:6" ht="48" customHeight="1" x14ac:dyDescent="0.25">
      <c r="A12" s="42" t="s">
        <v>279</v>
      </c>
      <c r="B12" s="37" t="s">
        <v>283</v>
      </c>
      <c r="C12" s="37" t="s">
        <v>284</v>
      </c>
      <c r="D12" s="45" t="s">
        <v>52</v>
      </c>
      <c r="E12" s="37" t="s">
        <v>285</v>
      </c>
      <c r="F12" s="38" t="s">
        <v>286</v>
      </c>
    </row>
    <row r="13" spans="1:6" ht="48" customHeight="1" x14ac:dyDescent="0.25">
      <c r="A13" s="42" t="s">
        <v>103</v>
      </c>
      <c r="B13" s="37" t="s">
        <v>287</v>
      </c>
      <c r="C13" s="37" t="s">
        <v>288</v>
      </c>
      <c r="D13" s="45" t="s">
        <v>52</v>
      </c>
      <c r="E13" s="37" t="s">
        <v>289</v>
      </c>
      <c r="F13" s="38" t="s">
        <v>290</v>
      </c>
    </row>
    <row r="14" spans="1:6" ht="48" customHeight="1" x14ac:dyDescent="0.25">
      <c r="A14" s="42" t="s">
        <v>176</v>
      </c>
      <c r="B14" s="37" t="s">
        <v>291</v>
      </c>
      <c r="C14" s="37" t="s">
        <v>292</v>
      </c>
      <c r="D14" s="45" t="s">
        <v>52</v>
      </c>
      <c r="E14" s="37" t="s">
        <v>293</v>
      </c>
      <c r="F14" s="38" t="s">
        <v>294</v>
      </c>
    </row>
    <row r="15" spans="1:6" ht="48" customHeight="1" x14ac:dyDescent="0.25">
      <c r="A15" s="42" t="s">
        <v>275</v>
      </c>
      <c r="B15" s="37" t="s">
        <v>295</v>
      </c>
      <c r="C15" s="37" t="s">
        <v>296</v>
      </c>
      <c r="D15" s="45" t="s">
        <v>52</v>
      </c>
      <c r="E15" s="37" t="s">
        <v>297</v>
      </c>
      <c r="F15" s="38" t="s">
        <v>298</v>
      </c>
    </row>
    <row r="16" spans="1:6" ht="48" customHeight="1" x14ac:dyDescent="0.25">
      <c r="A16" s="42" t="s">
        <v>275</v>
      </c>
      <c r="B16" s="37" t="s">
        <v>299</v>
      </c>
      <c r="C16" s="37" t="s">
        <v>300</v>
      </c>
      <c r="D16" s="45" t="s">
        <v>52</v>
      </c>
      <c r="E16" s="37" t="s">
        <v>301</v>
      </c>
      <c r="F16" s="38" t="s">
        <v>302</v>
      </c>
    </row>
    <row r="17" spans="1:6" ht="48" customHeight="1" x14ac:dyDescent="0.25">
      <c r="A17" s="42" t="s">
        <v>185</v>
      </c>
      <c r="B17" s="37" t="s">
        <v>303</v>
      </c>
      <c r="C17" s="37" t="s">
        <v>304</v>
      </c>
      <c r="D17" s="45" t="s">
        <v>52</v>
      </c>
      <c r="E17" s="37" t="s">
        <v>305</v>
      </c>
      <c r="F17" s="38" t="s">
        <v>306</v>
      </c>
    </row>
    <row r="18" spans="1:6" ht="48" customHeight="1" x14ac:dyDescent="0.25">
      <c r="A18" s="42" t="s">
        <v>185</v>
      </c>
      <c r="B18" s="37" t="s">
        <v>307</v>
      </c>
      <c r="C18" s="37" t="s">
        <v>308</v>
      </c>
      <c r="D18" s="45" t="s">
        <v>52</v>
      </c>
      <c r="E18" s="37" t="s">
        <v>309</v>
      </c>
      <c r="F18" s="38" t="s">
        <v>310</v>
      </c>
    </row>
    <row r="19" spans="1:6" ht="48" customHeight="1" x14ac:dyDescent="0.25">
      <c r="A19" s="42" t="s">
        <v>185</v>
      </c>
      <c r="B19" s="37" t="s">
        <v>311</v>
      </c>
      <c r="C19" s="37" t="s">
        <v>312</v>
      </c>
      <c r="D19" s="45" t="s">
        <v>52</v>
      </c>
      <c r="E19" s="37" t="s">
        <v>313</v>
      </c>
      <c r="F19" s="38" t="s">
        <v>314</v>
      </c>
    </row>
    <row r="20" spans="1:6" ht="48" customHeight="1" x14ac:dyDescent="0.25">
      <c r="A20" s="42" t="s">
        <v>185</v>
      </c>
      <c r="B20" s="37" t="s">
        <v>315</v>
      </c>
      <c r="C20" s="37" t="s">
        <v>316</v>
      </c>
      <c r="D20" s="45" t="s">
        <v>52</v>
      </c>
      <c r="E20" s="37" t="s">
        <v>317</v>
      </c>
      <c r="F20" s="38" t="s">
        <v>318</v>
      </c>
    </row>
    <row r="21" spans="1:6" ht="48" customHeight="1" x14ac:dyDescent="0.25">
      <c r="A21" s="42" t="s">
        <v>185</v>
      </c>
      <c r="B21" s="37" t="s">
        <v>319</v>
      </c>
      <c r="C21" s="37" t="s">
        <v>320</v>
      </c>
      <c r="D21" s="45" t="s">
        <v>52</v>
      </c>
      <c r="E21" s="37" t="s">
        <v>321</v>
      </c>
      <c r="F21" s="38" t="s">
        <v>322</v>
      </c>
    </row>
    <row r="22" spans="1:6" ht="48" customHeight="1" x14ac:dyDescent="0.25">
      <c r="A22" s="42" t="s">
        <v>185</v>
      </c>
      <c r="B22" s="37" t="s">
        <v>198</v>
      </c>
      <c r="C22" s="37" t="s">
        <v>323</v>
      </c>
      <c r="D22" s="45" t="s">
        <v>52</v>
      </c>
      <c r="E22" s="37" t="s">
        <v>324</v>
      </c>
      <c r="F22" s="38" t="s">
        <v>325</v>
      </c>
    </row>
    <row r="23" spans="1:6" ht="48" customHeight="1" x14ac:dyDescent="0.25">
      <c r="A23" s="42" t="s">
        <v>185</v>
      </c>
      <c r="B23" s="37" t="s">
        <v>326</v>
      </c>
      <c r="C23" s="37" t="s">
        <v>327</v>
      </c>
      <c r="D23" s="45" t="s">
        <v>52</v>
      </c>
      <c r="E23" s="37" t="s">
        <v>328</v>
      </c>
      <c r="F23" s="38" t="s">
        <v>329</v>
      </c>
    </row>
    <row r="24" spans="1:6" ht="48" customHeight="1" x14ac:dyDescent="0.25">
      <c r="A24" s="42" t="s">
        <v>142</v>
      </c>
      <c r="B24" s="37" t="s">
        <v>121</v>
      </c>
      <c r="C24" s="37" t="s">
        <v>330</v>
      </c>
      <c r="D24" s="45" t="s">
        <v>52</v>
      </c>
      <c r="E24" s="37" t="s">
        <v>331</v>
      </c>
      <c r="F24" s="38" t="s">
        <v>332</v>
      </c>
    </row>
    <row r="25" spans="1:6" ht="48" customHeight="1" x14ac:dyDescent="0.25">
      <c r="A25" s="42" t="s">
        <v>142</v>
      </c>
      <c r="B25" s="37" t="s">
        <v>130</v>
      </c>
      <c r="C25" s="37" t="s">
        <v>333</v>
      </c>
      <c r="D25" s="45" t="s">
        <v>52</v>
      </c>
      <c r="E25" s="37" t="s">
        <v>334</v>
      </c>
      <c r="F25" s="38" t="s">
        <v>335</v>
      </c>
    </row>
    <row r="26" spans="1:6" ht="48" customHeight="1" x14ac:dyDescent="0.25">
      <c r="A26" s="42" t="s">
        <v>336</v>
      </c>
      <c r="B26" s="37" t="s">
        <v>337</v>
      </c>
      <c r="C26" s="37" t="s">
        <v>338</v>
      </c>
      <c r="D26" s="45" t="s">
        <v>52</v>
      </c>
      <c r="E26" s="37" t="s">
        <v>339</v>
      </c>
      <c r="F26" s="38" t="s">
        <v>340</v>
      </c>
    </row>
    <row r="27" spans="1:6" ht="48" customHeight="1" x14ac:dyDescent="0.25">
      <c r="A27" s="42" t="s">
        <v>336</v>
      </c>
      <c r="B27" s="37" t="s">
        <v>121</v>
      </c>
      <c r="C27" s="37" t="s">
        <v>341</v>
      </c>
      <c r="D27" s="45" t="s">
        <v>52</v>
      </c>
      <c r="E27" s="37" t="s">
        <v>342</v>
      </c>
      <c r="F27" s="38" t="s">
        <v>343</v>
      </c>
    </row>
    <row r="28" spans="1:6" ht="48" customHeight="1" x14ac:dyDescent="0.25">
      <c r="A28" s="42" t="s">
        <v>336</v>
      </c>
      <c r="B28" s="37" t="s">
        <v>151</v>
      </c>
      <c r="C28" s="37" t="s">
        <v>344</v>
      </c>
      <c r="D28" s="45" t="s">
        <v>52</v>
      </c>
      <c r="E28" s="37" t="s">
        <v>345</v>
      </c>
      <c r="F28" s="38" t="s">
        <v>346</v>
      </c>
    </row>
    <row r="29" spans="1:6" ht="48" customHeight="1" x14ac:dyDescent="0.25">
      <c r="A29" s="42" t="s">
        <v>336</v>
      </c>
      <c r="B29" s="37" t="s">
        <v>185</v>
      </c>
      <c r="C29" s="37" t="s">
        <v>347</v>
      </c>
      <c r="D29" s="45" t="s">
        <v>52</v>
      </c>
      <c r="E29" s="37" t="s">
        <v>348</v>
      </c>
      <c r="F29" s="38" t="s">
        <v>349</v>
      </c>
    </row>
    <row r="30" spans="1:6" ht="48" customHeight="1" x14ac:dyDescent="0.25">
      <c r="A30" s="42" t="s">
        <v>215</v>
      </c>
      <c r="B30" s="37" t="s">
        <v>350</v>
      </c>
      <c r="C30" s="37" t="s">
        <v>351</v>
      </c>
      <c r="D30" s="45" t="s">
        <v>52</v>
      </c>
      <c r="E30" s="37" t="s">
        <v>352</v>
      </c>
      <c r="F30" s="38" t="s">
        <v>353</v>
      </c>
    </row>
    <row r="31" spans="1:6" ht="48" customHeight="1" x14ac:dyDescent="0.25">
      <c r="A31" s="42" t="s">
        <v>215</v>
      </c>
      <c r="B31" s="37" t="s">
        <v>354</v>
      </c>
      <c r="C31" s="37" t="s">
        <v>355</v>
      </c>
      <c r="D31" s="45" t="s">
        <v>52</v>
      </c>
      <c r="E31" s="37" t="s">
        <v>356</v>
      </c>
      <c r="F31" s="38" t="s">
        <v>357</v>
      </c>
    </row>
    <row r="32" spans="1:6" ht="48" customHeight="1" x14ac:dyDescent="0.25">
      <c r="A32" s="42" t="s">
        <v>215</v>
      </c>
      <c r="B32" s="37" t="s">
        <v>358</v>
      </c>
      <c r="C32" s="37" t="s">
        <v>359</v>
      </c>
      <c r="D32" s="45" t="s">
        <v>52</v>
      </c>
      <c r="E32" s="37" t="s">
        <v>360</v>
      </c>
      <c r="F32" s="38" t="s">
        <v>361</v>
      </c>
    </row>
    <row r="33" spans="1:6" ht="48" customHeight="1" x14ac:dyDescent="0.25">
      <c r="A33" s="42" t="s">
        <v>215</v>
      </c>
      <c r="B33" s="37" t="s">
        <v>275</v>
      </c>
      <c r="C33" s="37" t="s">
        <v>362</v>
      </c>
      <c r="D33" s="45" t="s">
        <v>52</v>
      </c>
      <c r="E33" s="37" t="s">
        <v>363</v>
      </c>
      <c r="F33" s="38" t="s">
        <v>364</v>
      </c>
    </row>
    <row r="34" spans="1:6" ht="48" customHeight="1" x14ac:dyDescent="0.25">
      <c r="A34" s="42" t="s">
        <v>232</v>
      </c>
      <c r="B34" s="37" t="s">
        <v>365</v>
      </c>
      <c r="C34" s="37" t="s">
        <v>366</v>
      </c>
      <c r="D34" s="45" t="s">
        <v>52</v>
      </c>
      <c r="E34" s="37" t="s">
        <v>367</v>
      </c>
      <c r="F34" s="38" t="s">
        <v>368</v>
      </c>
    </row>
    <row r="35" spans="1:6" ht="48" customHeight="1" x14ac:dyDescent="0.25">
      <c r="A35" s="42" t="s">
        <v>369</v>
      </c>
      <c r="B35" s="37" t="s">
        <v>370</v>
      </c>
      <c r="C35" s="37" t="s">
        <v>371</v>
      </c>
      <c r="D35" s="45" t="s">
        <v>52</v>
      </c>
      <c r="E35" s="37" t="s">
        <v>372</v>
      </c>
      <c r="F35" s="38" t="s">
        <v>373</v>
      </c>
    </row>
    <row r="36" spans="1:6" ht="48" customHeight="1" x14ac:dyDescent="0.25">
      <c r="A36" s="42" t="s">
        <v>77</v>
      </c>
      <c r="B36" s="37" t="s">
        <v>374</v>
      </c>
      <c r="C36" s="37" t="s">
        <v>375</v>
      </c>
      <c r="D36" s="45" t="s">
        <v>52</v>
      </c>
      <c r="E36" s="37" t="s">
        <v>376</v>
      </c>
      <c r="F36" s="38" t="s">
        <v>377</v>
      </c>
    </row>
    <row r="37" spans="1:6" ht="48" customHeight="1" x14ac:dyDescent="0.25">
      <c r="A37" s="42" t="s">
        <v>77</v>
      </c>
      <c r="B37" s="37" t="s">
        <v>378</v>
      </c>
      <c r="C37" s="37" t="s">
        <v>379</v>
      </c>
      <c r="D37" s="45" t="s">
        <v>52</v>
      </c>
      <c r="E37" s="37" t="s">
        <v>380</v>
      </c>
      <c r="F37" s="38" t="s">
        <v>381</v>
      </c>
    </row>
    <row r="38" spans="1:6" ht="48" customHeight="1" x14ac:dyDescent="0.25">
      <c r="A38" s="42" t="s">
        <v>382</v>
      </c>
      <c r="B38" s="37" t="s">
        <v>383</v>
      </c>
      <c r="C38" s="37" t="s">
        <v>384</v>
      </c>
      <c r="D38" s="45" t="s">
        <v>52</v>
      </c>
      <c r="E38" s="37" t="s">
        <v>385</v>
      </c>
      <c r="F38" s="38" t="s">
        <v>386</v>
      </c>
    </row>
    <row r="39" spans="1:6" ht="48" customHeight="1" x14ac:dyDescent="0.25">
      <c r="A39" s="42" t="s">
        <v>77</v>
      </c>
      <c r="B39" s="37" t="s">
        <v>387</v>
      </c>
      <c r="C39" s="37" t="s">
        <v>388</v>
      </c>
      <c r="D39" s="45" t="s">
        <v>52</v>
      </c>
      <c r="E39" s="37" t="s">
        <v>389</v>
      </c>
      <c r="F39" s="38" t="s">
        <v>390</v>
      </c>
    </row>
    <row r="40" spans="1:6" ht="48" customHeight="1" x14ac:dyDescent="0.25">
      <c r="A40" s="42" t="s">
        <v>151</v>
      </c>
      <c r="B40" s="37" t="s">
        <v>138</v>
      </c>
      <c r="C40" s="37" t="s">
        <v>391</v>
      </c>
      <c r="D40" s="45" t="s">
        <v>52</v>
      </c>
      <c r="E40" s="37" t="s">
        <v>392</v>
      </c>
      <c r="F40" s="38" t="s">
        <v>393</v>
      </c>
    </row>
    <row r="41" spans="1:6" ht="48" customHeight="1" x14ac:dyDescent="0.25">
      <c r="A41" s="42" t="s">
        <v>151</v>
      </c>
      <c r="B41" s="37" t="s">
        <v>394</v>
      </c>
      <c r="C41" s="37" t="s">
        <v>395</v>
      </c>
      <c r="D41" s="45" t="s">
        <v>52</v>
      </c>
      <c r="E41" s="37" t="s">
        <v>396</v>
      </c>
      <c r="F41" s="38" t="s">
        <v>397</v>
      </c>
    </row>
    <row r="42" spans="1:6" ht="48" customHeight="1" x14ac:dyDescent="0.25">
      <c r="A42" s="42" t="s">
        <v>398</v>
      </c>
      <c r="B42" s="37" t="s">
        <v>242</v>
      </c>
      <c r="C42" s="37" t="s">
        <v>399</v>
      </c>
      <c r="D42" s="45" t="s">
        <v>52</v>
      </c>
      <c r="E42" s="37" t="s">
        <v>400</v>
      </c>
      <c r="F42" s="38" t="s">
        <v>401</v>
      </c>
    </row>
    <row r="43" spans="1:6" ht="48" customHeight="1" x14ac:dyDescent="0.25">
      <c r="A43" s="43" t="s">
        <v>402</v>
      </c>
      <c r="B43" s="39" t="s">
        <v>403</v>
      </c>
      <c r="C43" s="39" t="s">
        <v>404</v>
      </c>
      <c r="D43" s="46" t="s">
        <v>52</v>
      </c>
      <c r="E43" s="39" t="s">
        <v>405</v>
      </c>
      <c r="F43" s="40" t="s">
        <v>406</v>
      </c>
    </row>
    <row r="45" spans="1:6" ht="28.05" customHeight="1" x14ac:dyDescent="0.3">
      <c r="A45" s="55" t="s">
        <v>407</v>
      </c>
      <c r="B45" s="55"/>
      <c r="C45" s="55"/>
      <c r="D45" s="55"/>
      <c r="E45" s="55"/>
      <c r="F45" s="55"/>
    </row>
    <row r="46" spans="1:6" ht="30" customHeight="1" x14ac:dyDescent="0.25">
      <c r="A46" s="34" t="s">
        <v>408</v>
      </c>
      <c r="B46" s="34" t="s">
        <v>409</v>
      </c>
      <c r="C46" s="34" t="s">
        <v>39</v>
      </c>
      <c r="D46" s="34" t="s">
        <v>241</v>
      </c>
      <c r="E46" s="56" t="s">
        <v>410</v>
      </c>
      <c r="F46" s="56"/>
    </row>
    <row r="47" spans="1:6" ht="67.95" customHeight="1" x14ac:dyDescent="0.25">
      <c r="A47" s="47" t="s">
        <v>411</v>
      </c>
      <c r="B47" s="47" t="s">
        <v>412</v>
      </c>
      <c r="C47" s="48" t="s">
        <v>52</v>
      </c>
      <c r="D47" s="47" t="s">
        <v>413</v>
      </c>
      <c r="E47" s="57" t="s">
        <v>414</v>
      </c>
      <c r="F47" s="57"/>
    </row>
    <row r="48" spans="1:6" ht="67.95" customHeight="1" x14ac:dyDescent="0.25">
      <c r="A48" s="47" t="s">
        <v>415</v>
      </c>
      <c r="B48" s="47" t="s">
        <v>416</v>
      </c>
      <c r="C48" s="48" t="s">
        <v>52</v>
      </c>
      <c r="D48" s="47" t="s">
        <v>413</v>
      </c>
      <c r="E48" s="57" t="s">
        <v>417</v>
      </c>
      <c r="F48" s="57"/>
    </row>
    <row r="49" spans="1:6" ht="67.95" customHeight="1" x14ac:dyDescent="0.25">
      <c r="A49" s="47" t="s">
        <v>418</v>
      </c>
      <c r="B49" s="47" t="s">
        <v>419</v>
      </c>
      <c r="C49" s="48" t="s">
        <v>52</v>
      </c>
      <c r="D49" s="47" t="s">
        <v>413</v>
      </c>
      <c r="E49" s="57" t="s">
        <v>420</v>
      </c>
      <c r="F49" s="57"/>
    </row>
  </sheetData>
  <mergeCells count="7">
    <mergeCell ref="E48:F48"/>
    <mergeCell ref="E49:F49"/>
    <mergeCell ref="A1:F1"/>
    <mergeCell ref="A2:F2"/>
    <mergeCell ref="A45:F45"/>
    <mergeCell ref="E46:F46"/>
    <mergeCell ref="E47:F47"/>
  </mergeCells>
  <dataValidations count="1">
    <dataValidation type="list" sqref="D9:D43" xr:uid="{00000000-0002-0000-0400-000000000000}">
      <formula1>"Complete,Ready,Planned,Blocked"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Technical Development</vt:lpstr>
      <vt:lpstr>Marketing</vt:lpstr>
      <vt:lpstr>Version 0 Details</vt:lpstr>
      <vt:lpstr>Version 1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Bhatnagar</cp:lastModifiedBy>
  <dcterms:modified xsi:type="dcterms:W3CDTF">2026-09-20T09:24:18Z</dcterms:modified>
</cp:coreProperties>
</file>